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ClientService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;[Red]-#,##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3864"/>
      <sz val="18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2" fillId="2" borderId="0" pivotButton="0" quotePrefix="0" xfId="0"/>
    <xf numFmtId="165" fontId="1" fillId="0" borderId="0" pivotButton="0" quotePrefix="0" xfId="0"/>
    <xf numFmtId="3" fontId="0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4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C6E0B4"/>
        </patternFill>
      </fill>
    </dxf>
    <dxf>
      <fill>
        <patternFill patternType="solid"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'Dashboard'!$A$28:$A$32</f>
            </numRef>
          </cat>
          <val>
            <numRef>
              <f>'Dashboard'!$B$28:$B$32</f>
            </numRef>
          </val>
        </ser>
        <ser>
          <idx val="1"/>
          <order val="1"/>
          <tx>
            <strRef>
              <f>'Dashboard'!C27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'Dashboard'!$A$28:$A$32</f>
            </numRef>
          </cat>
          <val>
            <numRef>
              <f>'Dashboard'!$C$28:$C$32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Projects by status (follows category filter)</a:t>
            </a:r>
          </a:p>
        </rich>
      </tx>
    </title>
    <plotArea>
      <pieChart>
        <varyColors val="1"/>
        <ser>
          <idx val="0"/>
          <order val="0"/>
          <tx>
            <strRef>
              <f>'Dashboard'!B19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'Dashboard'!$A$20:$A$23</f>
            </numRef>
          </cat>
          <val>
            <numRef>
              <f>'Dashboard'!$B$20:$B$23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by flag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'Dashboard'!B36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'Dashboard'!$A$37:$A$40</f>
            </numRef>
          </cat>
          <val>
            <numRef>
              <f>'Dashboard'!$B$37:$B$40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39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35</row>
      <rowOff>0</rowOff>
    </from>
    <ext cx="396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Operations Dashboard</t>
        </is>
      </c>
    </row>
    <row r="2">
      <c r="A2" t="inlineStr">
        <is>
          <t>Yellow cells are inputs. Everything else recalculates from Projects, ClientService and Inventory.</t>
        </is>
      </c>
    </row>
    <row r="3">
      <c r="A3" s="2" t="inlineStr">
        <is>
          <t>Project category filter:</t>
        </is>
      </c>
      <c r="C3" s="3" t="inlineStr">
        <is>
          <t>All</t>
        </is>
      </c>
      <c r="D3" s="4">
        <f>IF($C$3="All","*",$C$3)</f>
        <v/>
      </c>
      <c r="E3" t="inlineStr">
        <is>
          <t>&lt;- criteria helper</t>
        </is>
      </c>
    </row>
    <row r="5">
      <c r="A5" s="5" t="inlineStr">
        <is>
          <t>KPI</t>
        </is>
      </c>
      <c r="B5" s="5" t="inlineStr">
        <is>
          <t>Value</t>
        </is>
      </c>
    </row>
    <row r="6">
      <c r="A6" t="inlineStr">
        <is>
          <t>Projects (filtered)</t>
        </is>
      </c>
      <c r="B6" s="2">
        <f>COUNTIFS(Projects!$C$2:$C$200,$D$3,Projects!$A$2:$A$200,"&lt;&gt;")</f>
        <v/>
      </c>
    </row>
    <row r="7">
      <c r="A7" t="inlineStr">
        <is>
          <t>Budget (filtered)</t>
        </is>
      </c>
      <c r="B7" s="6">
        <f>SUMIFS(Projects!$I$2:$I$200,Projects!$C$2:$C$200,$D$3)</f>
        <v/>
      </c>
    </row>
    <row r="8">
      <c r="A8" t="inlineStr">
        <is>
          <t>Actual cost (filtered)</t>
        </is>
      </c>
      <c r="B8" s="6">
        <f>SUMIFS(Projects!$J$2:$J$200,Projects!$C$2:$C$200,$D$3)</f>
        <v/>
      </c>
    </row>
    <row r="9">
      <c r="A9" t="inlineStr">
        <is>
          <t>Cost variance (filtered)</t>
        </is>
      </c>
      <c r="B9" s="6">
        <f>B8-B7</f>
        <v/>
      </c>
    </row>
    <row r="10">
      <c r="A10" t="inlineStr">
        <is>
          <t>Projects late or over budget</t>
        </is>
      </c>
      <c r="B10" s="2">
        <f>COUNTIFS(Projects!$C$2:$C$200,$D$3,Projects!$M$2:$M$200,"&lt;&gt;On track",Projects!$A$2:$A$200,"&lt;&gt;")</f>
        <v/>
      </c>
    </row>
    <row r="11">
      <c r="A11" t="inlineStr">
        <is>
          <t>Open service tickets</t>
        </is>
      </c>
      <c r="B11" s="2">
        <f>COUNTIFS(ClientService!$D$2:$D$200,"Open")+COUNTIFS(ClientService!$D$2:$D$200,"Waiting Client")</f>
        <v/>
      </c>
    </row>
    <row r="12">
      <c r="A12" t="inlineStr">
        <is>
          <t>Late tickets</t>
        </is>
      </c>
      <c r="B12" s="2">
        <f>COUNTIFS(ClientService!$L$2:$L$200,"&gt;0")</f>
        <v/>
      </c>
    </row>
    <row r="13">
      <c r="A13" t="inlineStr">
        <is>
          <t>Billable cost, all tickets</t>
        </is>
      </c>
      <c r="B13" s="6">
        <f>SUM(ClientService!$K$2:$K$200)</f>
        <v/>
      </c>
    </row>
    <row r="14">
      <c r="A14" t="inlineStr">
        <is>
          <t>Stock value (active)</t>
        </is>
      </c>
      <c r="B14" s="6">
        <f>SUMIFS(Inventory!$J$2:$J$200,Inventory!$D$2:$D$200,"&lt;&gt;Discontinued")</f>
        <v/>
      </c>
    </row>
    <row r="15">
      <c r="A15" t="inlineStr">
        <is>
          <t>SKUs to reorder / overdue</t>
        </is>
      </c>
      <c r="B15" s="2">
        <f>COUNTIFS(Inventory!$L$2:$L$200,"Reorder now")+COUNTIFS(Inventory!$L$2:$L$200,"Restock overdue")</f>
        <v/>
      </c>
    </row>
    <row r="18">
      <c r="A18" s="2" t="inlineStr">
        <is>
          <t>Filtered view: status breakdown</t>
        </is>
      </c>
    </row>
    <row r="19">
      <c r="A19" s="2" t="inlineStr">
        <is>
          <t>Status</t>
        </is>
      </c>
      <c r="B19" s="2" t="inlineStr">
        <is>
          <t>Projects</t>
        </is>
      </c>
      <c r="C19" s="2" t="inlineStr">
        <is>
          <t>Budget</t>
        </is>
      </c>
    </row>
    <row r="20">
      <c r="A20" t="inlineStr">
        <is>
          <t>Planned</t>
        </is>
      </c>
      <c r="B20">
        <f>COUNTIFS(Projects!$C$2:$C$200,$D$3,Projects!$D$2:$D$200,$A20)</f>
        <v/>
      </c>
      <c r="C20" s="7">
        <f>SUMIFS(Projects!$I$2:$I$200,Projects!$C$2:$C$200,$D$3,Projects!$D$2:$D$200,$A20)</f>
        <v/>
      </c>
    </row>
    <row r="21">
      <c r="A21" t="inlineStr">
        <is>
          <t>In Progress</t>
        </is>
      </c>
      <c r="B21">
        <f>COUNTIFS(Projects!$C$2:$C$200,$D$3,Projects!$D$2:$D$200,$A21)</f>
        <v/>
      </c>
      <c r="C21" s="7">
        <f>SUMIFS(Projects!$I$2:$I$200,Projects!$C$2:$C$200,$D$3,Projects!$D$2:$D$200,$A21)</f>
        <v/>
      </c>
    </row>
    <row r="22">
      <c r="A22" t="inlineStr">
        <is>
          <t>Done</t>
        </is>
      </c>
      <c r="B22">
        <f>COUNTIFS(Projects!$C$2:$C$200,$D$3,Projects!$D$2:$D$200,$A22)</f>
        <v/>
      </c>
      <c r="C22" s="7">
        <f>SUMIFS(Projects!$I$2:$I$200,Projects!$C$2:$C$200,$D$3,Projects!$D$2:$D$200,$A22)</f>
        <v/>
      </c>
    </row>
    <row r="23">
      <c r="A23" t="inlineStr">
        <is>
          <t>On Hold</t>
        </is>
      </c>
      <c r="B23">
        <f>COUNTIFS(Projects!$C$2:$C$200,$D$3,Projects!$D$2:$D$200,$A23)</f>
        <v/>
      </c>
      <c r="C23" s="7">
        <f>SUMIFS(Projects!$I$2:$I$200,Projects!$C$2:$C$200,$D$3,Projects!$D$2:$D$200,$A23)</f>
        <v/>
      </c>
    </row>
    <row r="26">
      <c r="A26" s="2" t="inlineStr">
        <is>
          <t>Budget vs actual by category</t>
        </is>
      </c>
    </row>
    <row r="27">
      <c r="A27" s="2" t="inlineStr">
        <is>
          <t>Category</t>
        </is>
      </c>
      <c r="B27" s="2" t="inlineStr">
        <is>
          <t>Budget</t>
        </is>
      </c>
      <c r="C27" s="2" t="inlineStr">
        <is>
          <t>Actual</t>
        </is>
      </c>
    </row>
    <row r="28">
      <c r="A28" t="inlineStr">
        <is>
          <t>Website</t>
        </is>
      </c>
      <c r="B28" s="7">
        <f>SUMIFS(Projects!$I$2:$I$200,Projects!$C$2:$C$200,$A28)</f>
        <v/>
      </c>
      <c r="C28" s="7">
        <f>SUMIFS(Projects!$J$2:$J$200,Projects!$C$2:$C$200,$A28)</f>
        <v/>
      </c>
    </row>
    <row r="29">
      <c r="A29" t="inlineStr">
        <is>
          <t>Marketing</t>
        </is>
      </c>
      <c r="B29" s="7">
        <f>SUMIFS(Projects!$I$2:$I$200,Projects!$C$2:$C$200,$A29)</f>
        <v/>
      </c>
      <c r="C29" s="7">
        <f>SUMIFS(Projects!$J$2:$J$200,Projects!$C$2:$C$200,$A29)</f>
        <v/>
      </c>
    </row>
    <row r="30">
      <c r="A30" t="inlineStr">
        <is>
          <t>Operations</t>
        </is>
      </c>
      <c r="B30" s="7">
        <f>SUMIFS(Projects!$I$2:$I$200,Projects!$C$2:$C$200,$A30)</f>
        <v/>
      </c>
      <c r="C30" s="7">
        <f>SUMIFS(Projects!$J$2:$J$200,Projects!$C$2:$C$200,$A30)</f>
        <v/>
      </c>
    </row>
    <row r="31">
      <c r="A31" t="inlineStr">
        <is>
          <t>Finance</t>
        </is>
      </c>
      <c r="B31" s="7">
        <f>SUMIFS(Projects!$I$2:$I$200,Projects!$C$2:$C$200,$A31)</f>
        <v/>
      </c>
      <c r="C31" s="7">
        <f>SUMIFS(Projects!$J$2:$J$200,Projects!$C$2:$C$200,$A31)</f>
        <v/>
      </c>
    </row>
    <row r="32">
      <c r="A32" t="inlineStr">
        <is>
          <t>IT</t>
        </is>
      </c>
      <c r="B32" s="7">
        <f>SUMIFS(Projects!$I$2:$I$200,Projects!$C$2:$C$200,$A32)</f>
        <v/>
      </c>
      <c r="C32" s="7">
        <f>SUMIFS(Projects!$J$2:$J$200,Projects!$C$2:$C$200,$A32)</f>
        <v/>
      </c>
    </row>
    <row r="35">
      <c r="A35" s="2" t="inlineStr">
        <is>
          <t>Inventory flags</t>
        </is>
      </c>
    </row>
    <row r="36">
      <c r="A36" s="2" t="inlineStr">
        <is>
          <t>Flag</t>
        </is>
      </c>
      <c r="B36" s="2" t="inlineStr">
        <is>
          <t>SKUs</t>
        </is>
      </c>
    </row>
    <row r="37">
      <c r="A37" t="inlineStr">
        <is>
          <t>OK</t>
        </is>
      </c>
      <c r="B37">
        <f>COUNTIFS(Inventory!$L$2:$L$200,$A37)</f>
        <v/>
      </c>
    </row>
    <row r="38">
      <c r="A38" t="inlineStr">
        <is>
          <t>Reorder now</t>
        </is>
      </c>
      <c r="B38">
        <f>COUNTIFS(Inventory!$L$2:$L$200,$A38)</f>
        <v/>
      </c>
    </row>
    <row r="39">
      <c r="A39" t="inlineStr">
        <is>
          <t>Restock overdue</t>
        </is>
      </c>
      <c r="B39">
        <f>COUNTIFS(Inventory!$L$2:$L$200,$A39)</f>
        <v/>
      </c>
    </row>
    <row r="40">
      <c r="A40" t="inlineStr">
        <is>
          <t>Retire</t>
        </is>
      </c>
      <c r="B40">
        <f>COUNTIFS(Inventory!$L$2:$L$200,$A40)</f>
        <v/>
      </c>
    </row>
  </sheetData>
  <dataValidations count="1">
    <dataValidation sqref="C3" showDropDown="0" showInputMessage="0" showErrorMessage="1" allowBlank="0" error="Choose a listed category" type="list">
      <formula1>"All,Website,Marketing,Operations,Finance,IT"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3" customWidth="1" min="4" max="4"/>
    <col width="12" customWidth="1" min="5" max="5"/>
    <col width="12" customWidth="1" min="6" max="6"/>
    <col width="13" customWidth="1" min="7" max="7"/>
    <col width="13" customWidth="1" min="8" max="8"/>
    <col width="12" customWidth="1" min="9" max="9"/>
    <col width="12" customWidth="1" min="10" max="10"/>
    <col width="13" customWidth="1" min="11" max="11"/>
    <col width="13" customWidth="1" min="12" max="12"/>
    <col width="18" customWidth="1" min="13" max="13"/>
  </cols>
  <sheetData>
    <row r="1" ht="32" customHeight="1">
      <c r="A1" s="8" t="inlineStr">
        <is>
          <t>ID</t>
        </is>
      </c>
      <c r="B1" s="8" t="inlineStr">
        <is>
          <t>Project</t>
        </is>
      </c>
      <c r="C1" s="8" t="inlineStr">
        <is>
          <t>Category</t>
        </is>
      </c>
      <c r="D1" s="8" t="inlineStr">
        <is>
          <t>Status</t>
        </is>
      </c>
      <c r="E1" s="8" t="inlineStr">
        <is>
          <t>Owner</t>
        </is>
      </c>
      <c r="F1" s="8" t="inlineStr">
        <is>
          <t>Start</t>
        </is>
      </c>
      <c r="G1" s="8" t="inlineStr">
        <is>
          <t>Planned End</t>
        </is>
      </c>
      <c r="H1" s="8" t="inlineStr">
        <is>
          <t>Actual End</t>
        </is>
      </c>
      <c r="I1" s="8" t="inlineStr">
        <is>
          <t>Budget</t>
        </is>
      </c>
      <c r="J1" s="8" t="inlineStr">
        <is>
          <t>Actual Cost</t>
        </is>
      </c>
      <c r="K1" s="8" t="inlineStr">
        <is>
          <t>Cost Variance</t>
        </is>
      </c>
      <c r="L1" s="8" t="inlineStr">
        <is>
          <t>Slippage (days)</t>
        </is>
      </c>
      <c r="M1" s="8" t="inlineStr">
        <is>
          <t>Performance Flag</t>
        </is>
      </c>
    </row>
    <row r="2">
      <c r="A2" s="3" t="inlineStr">
        <is>
          <t>P-01</t>
        </is>
      </c>
      <c r="B2" s="3" t="inlineStr">
        <is>
          <t>Website redesign</t>
        </is>
      </c>
      <c r="C2" s="3" t="inlineStr">
        <is>
          <t>Website</t>
        </is>
      </c>
      <c r="D2" s="3" t="inlineStr">
        <is>
          <t>In Progress</t>
        </is>
      </c>
      <c r="E2" s="3" t="inlineStr">
        <is>
          <t>Ana</t>
        </is>
      </c>
      <c r="F2" s="9" t="n">
        <v>46209</v>
      </c>
      <c r="G2" s="9" t="n">
        <v>46269</v>
      </c>
      <c r="H2" s="9" t="n"/>
      <c r="I2" s="10" t="n">
        <v>12000</v>
      </c>
      <c r="J2" s="10" t="n">
        <v>11200</v>
      </c>
      <c r="K2" s="11">
        <f>IF(I2="","",J2-I2)</f>
        <v/>
      </c>
      <c r="L2">
        <f>IF(G2="","",IF(H2&lt;&gt;"",MAX(0,H2-G2),IF(AND(D2&lt;&gt;"Planned",TODAY()&gt;G2),TODAY()-G2,0)))</f>
        <v/>
      </c>
      <c r="M2">
        <f>IF(B2="","",IF(AND(K2&gt;0.1*I2,L2&gt;0),"Over budget + late",IF(K2&gt;0.1*I2,"Over budget",IF(L2&gt;0,"Late","On track"))))</f>
        <v/>
      </c>
    </row>
    <row r="3">
      <c r="A3" s="3" t="inlineStr">
        <is>
          <t>P-02</t>
        </is>
      </c>
      <c r="B3" s="3" t="inlineStr">
        <is>
          <t>Q3 email campaign</t>
        </is>
      </c>
      <c r="C3" s="3" t="inlineStr">
        <is>
          <t>Marketing</t>
        </is>
      </c>
      <c r="D3" s="3" t="inlineStr">
        <is>
          <t>Done</t>
        </is>
      </c>
      <c r="E3" s="3" t="inlineStr">
        <is>
          <t>Ben</t>
        </is>
      </c>
      <c r="F3" s="9" t="n">
        <v>46204</v>
      </c>
      <c r="G3" s="9" t="n">
        <v>46249</v>
      </c>
      <c r="H3" s="9" t="n">
        <v>46254</v>
      </c>
      <c r="I3" s="10" t="n">
        <v>4500</v>
      </c>
      <c r="J3" s="10" t="n">
        <v>4900</v>
      </c>
      <c r="K3" s="11">
        <f>IF(I3="","",J3-I3)</f>
        <v/>
      </c>
      <c r="L3">
        <f>IF(G3="","",IF(H3&lt;&gt;"",MAX(0,H3-G3),IF(AND(D3&lt;&gt;"Planned",TODAY()&gt;G3),TODAY()-G3,0)))</f>
        <v/>
      </c>
      <c r="M3">
        <f>IF(B3="","",IF(AND(K3&gt;0.1*I3,L3&gt;0),"Over budget + late",IF(K3&gt;0.1*I3,"Over budget",IF(L3&gt;0,"Late","On track"))))</f>
        <v/>
      </c>
    </row>
    <row r="4">
      <c r="A4" s="3" t="inlineStr">
        <is>
          <t>P-03</t>
        </is>
      </c>
      <c r="B4" s="3" t="inlineStr">
        <is>
          <t>Warehouse re-layout</t>
        </is>
      </c>
      <c r="C4" s="3" t="inlineStr">
        <is>
          <t>Operations</t>
        </is>
      </c>
      <c r="D4" s="3" t="inlineStr">
        <is>
          <t>Done</t>
        </is>
      </c>
      <c r="E4" s="3" t="inlineStr">
        <is>
          <t>Cy</t>
        </is>
      </c>
      <c r="F4" s="9" t="n">
        <v>46174</v>
      </c>
      <c r="G4" s="9" t="n">
        <v>46234</v>
      </c>
      <c r="H4" s="9" t="n">
        <v>46231</v>
      </c>
      <c r="I4" s="10" t="n">
        <v>8000</v>
      </c>
      <c r="J4" s="10" t="n">
        <v>7300</v>
      </c>
      <c r="K4" s="11">
        <f>IF(I4="","",J4-I4)</f>
        <v/>
      </c>
      <c r="L4">
        <f>IF(G4="","",IF(H4&lt;&gt;"",MAX(0,H4-G4),IF(AND(D4&lt;&gt;"Planned",TODAY()&gt;G4),TODAY()-G4,0)))</f>
        <v/>
      </c>
      <c r="M4">
        <f>IF(B4="","",IF(AND(K4&gt;0.1*I4,L4&gt;0),"Over budget + late",IF(K4&gt;0.1*I4,"Over budget",IF(L4&gt;0,"Late","On track"))))</f>
        <v/>
      </c>
    </row>
    <row r="5">
      <c r="A5" s="3" t="inlineStr">
        <is>
          <t>P-04</t>
        </is>
      </c>
      <c r="B5" s="3" t="inlineStr">
        <is>
          <t>Budget model v2</t>
        </is>
      </c>
      <c r="C5" s="3" t="inlineStr">
        <is>
          <t>Finance</t>
        </is>
      </c>
      <c r="D5" s="3" t="inlineStr">
        <is>
          <t>In Progress</t>
        </is>
      </c>
      <c r="E5" s="3" t="inlineStr">
        <is>
          <t>Dee</t>
        </is>
      </c>
      <c r="F5" s="9" t="n">
        <v>46237</v>
      </c>
      <c r="G5" s="9" t="n">
        <v>46295</v>
      </c>
      <c r="H5" s="9" t="n"/>
      <c r="I5" s="10" t="n">
        <v>3000</v>
      </c>
      <c r="J5" s="10" t="n">
        <v>3400</v>
      </c>
      <c r="K5" s="11">
        <f>IF(I5="","",J5-I5)</f>
        <v/>
      </c>
      <c r="L5">
        <f>IF(G5="","",IF(H5&lt;&gt;"",MAX(0,H5-G5),IF(AND(D5&lt;&gt;"Planned",TODAY()&gt;G5),TODAY()-G5,0)))</f>
        <v/>
      </c>
      <c r="M5">
        <f>IF(B5="","",IF(AND(K5&gt;0.1*I5,L5&gt;0),"Over budget + late",IF(K5&gt;0.1*I5,"Over budget",IF(L5&gt;0,"Late","On track"))))</f>
        <v/>
      </c>
    </row>
    <row r="6">
      <c r="A6" s="3" t="inlineStr">
        <is>
          <t>P-05</t>
        </is>
      </c>
      <c r="B6" s="3" t="inlineStr">
        <is>
          <t>CRM migration</t>
        </is>
      </c>
      <c r="C6" s="3" t="inlineStr">
        <is>
          <t>IT</t>
        </is>
      </c>
      <c r="D6" s="3" t="inlineStr">
        <is>
          <t>In Progress</t>
        </is>
      </c>
      <c r="E6" s="3" t="inlineStr">
        <is>
          <t>Eli</t>
        </is>
      </c>
      <c r="F6" s="9" t="n">
        <v>46188</v>
      </c>
      <c r="G6" s="9" t="n">
        <v>46280</v>
      </c>
      <c r="H6" s="9" t="n"/>
      <c r="I6" s="10" t="n">
        <v>20000</v>
      </c>
      <c r="J6" s="10" t="n">
        <v>23500</v>
      </c>
      <c r="K6" s="11">
        <f>IF(I6="","",J6-I6)</f>
        <v/>
      </c>
      <c r="L6">
        <f>IF(G6="","",IF(H6&lt;&gt;"",MAX(0,H6-G6),IF(AND(D6&lt;&gt;"Planned",TODAY()&gt;G6),TODAY()-G6,0)))</f>
        <v/>
      </c>
      <c r="M6">
        <f>IF(B6="","",IF(AND(K6&gt;0.1*I6,L6&gt;0),"Over budget + late",IF(K6&gt;0.1*I6,"Over budget",IF(L6&gt;0,"Late","On track"))))</f>
        <v/>
      </c>
    </row>
    <row r="7">
      <c r="A7" s="3" t="inlineStr">
        <is>
          <t>P-06</t>
        </is>
      </c>
      <c r="B7" s="3" t="inlineStr">
        <is>
          <t>Landing page A/B tests</t>
        </is>
      </c>
      <c r="C7" s="3" t="inlineStr">
        <is>
          <t>Website</t>
        </is>
      </c>
      <c r="D7" s="3" t="inlineStr">
        <is>
          <t>Planned</t>
        </is>
      </c>
      <c r="E7" s="3" t="inlineStr">
        <is>
          <t>Ana</t>
        </is>
      </c>
      <c r="F7" s="9" t="n">
        <v>46300</v>
      </c>
      <c r="G7" s="9" t="n">
        <v>46341</v>
      </c>
      <c r="H7" s="9" t="n"/>
      <c r="I7" s="10" t="n">
        <v>2500</v>
      </c>
      <c r="J7" s="10" t="n">
        <v>0</v>
      </c>
      <c r="K7" s="11">
        <f>IF(I7="","",J7-I7)</f>
        <v/>
      </c>
      <c r="L7">
        <f>IF(G7="","",IF(H7&lt;&gt;"",MAX(0,H7-G7),IF(AND(D7&lt;&gt;"Planned",TODAY()&gt;G7),TODAY()-G7,0)))</f>
        <v/>
      </c>
      <c r="M7">
        <f>IF(B7="","",IF(AND(K7&gt;0.1*I7,L7&gt;0),"Over budget + late",IF(K7&gt;0.1*I7,"Over budget",IF(L7&gt;0,"Late","On track"))))</f>
        <v/>
      </c>
    </row>
    <row r="8">
      <c r="A8" s="3" t="inlineStr">
        <is>
          <t>P-07</t>
        </is>
      </c>
      <c r="B8" s="3" t="inlineStr">
        <is>
          <t>Trade show booth</t>
        </is>
      </c>
      <c r="C8" s="3" t="inlineStr">
        <is>
          <t>Marketing</t>
        </is>
      </c>
      <c r="D8" s="3" t="inlineStr">
        <is>
          <t>On Hold</t>
        </is>
      </c>
      <c r="E8" s="3" t="inlineStr">
        <is>
          <t>Ben</t>
        </is>
      </c>
      <c r="F8" s="9" t="n">
        <v>46244</v>
      </c>
      <c r="G8" s="9" t="n">
        <v>46305</v>
      </c>
      <c r="H8" s="9" t="n"/>
      <c r="I8" s="10" t="n">
        <v>9000</v>
      </c>
      <c r="J8" s="10" t="n">
        <v>1200</v>
      </c>
      <c r="K8" s="11">
        <f>IF(I8="","",J8-I8)</f>
        <v/>
      </c>
      <c r="L8">
        <f>IF(G8="","",IF(H8&lt;&gt;"",MAX(0,H8-G8),IF(AND(D8&lt;&gt;"Planned",TODAY()&gt;G8),TODAY()-G8,0)))</f>
        <v/>
      </c>
      <c r="M8">
        <f>IF(B8="","",IF(AND(K8&gt;0.1*I8,L8&gt;0),"Over budget + late",IF(K8&gt;0.1*I8,"Over budget",IF(L8&gt;0,"Late","On track"))))</f>
        <v/>
      </c>
    </row>
    <row r="9">
      <c r="A9" s="3" t="inlineStr">
        <is>
          <t>P-08</t>
        </is>
      </c>
      <c r="B9" s="3" t="inlineStr">
        <is>
          <t>Supplier audit</t>
        </is>
      </c>
      <c r="C9" s="3" t="inlineStr">
        <is>
          <t>Operations</t>
        </is>
      </c>
      <c r="D9" s="3" t="inlineStr">
        <is>
          <t>Done</t>
        </is>
      </c>
      <c r="E9" s="3" t="inlineStr">
        <is>
          <t>Cy</t>
        </is>
      </c>
      <c r="F9" s="9" t="n">
        <v>46213</v>
      </c>
      <c r="G9" s="9" t="n">
        <v>46264</v>
      </c>
      <c r="H9" s="9" t="n">
        <v>46263</v>
      </c>
      <c r="I9" s="10" t="n">
        <v>2200</v>
      </c>
      <c r="J9" s="10" t="n">
        <v>2100</v>
      </c>
      <c r="K9" s="11">
        <f>IF(I9="","",J9-I9)</f>
        <v/>
      </c>
      <c r="L9">
        <f>IF(G9="","",IF(H9&lt;&gt;"",MAX(0,H9-G9),IF(AND(D9&lt;&gt;"Planned",TODAY()&gt;G9),TODAY()-G9,0)))</f>
        <v/>
      </c>
      <c r="M9">
        <f>IF(B9="","",IF(AND(K9&gt;0.1*I9,L9&gt;0),"Over budget + late",IF(K9&gt;0.1*I9,"Over budget",IF(L9&gt;0,"Late","On track"))))</f>
        <v/>
      </c>
    </row>
    <row r="10">
      <c r="A10" s="3" t="inlineStr">
        <is>
          <t>P-09</t>
        </is>
      </c>
      <c r="B10" s="3" t="inlineStr">
        <is>
          <t>Invoice automation</t>
        </is>
      </c>
      <c r="C10" s="3" t="inlineStr">
        <is>
          <t>Finance</t>
        </is>
      </c>
      <c r="D10" s="3" t="inlineStr">
        <is>
          <t>Done</t>
        </is>
      </c>
      <c r="E10" s="3" t="inlineStr">
        <is>
          <t>Dee</t>
        </is>
      </c>
      <c r="F10" s="9" t="n">
        <v>46174</v>
      </c>
      <c r="G10" s="9" t="n">
        <v>46218</v>
      </c>
      <c r="H10" s="9" t="n">
        <v>46236</v>
      </c>
      <c r="I10" s="10" t="n">
        <v>5000</v>
      </c>
      <c r="J10" s="10" t="n">
        <v>5100</v>
      </c>
      <c r="K10" s="11">
        <f>IF(I10="","",J10-I10)</f>
        <v/>
      </c>
      <c r="L10">
        <f>IF(G10="","",IF(H10&lt;&gt;"",MAX(0,H10-G10),IF(AND(D10&lt;&gt;"Planned",TODAY()&gt;G10),TODAY()-G10,0)))</f>
        <v/>
      </c>
      <c r="M10">
        <f>IF(B10="","",IF(AND(K10&gt;0.1*I10,L10&gt;0),"Over budget + late",IF(K10&gt;0.1*I10,"Over budget",IF(L10&gt;0,"Late","On track"))))</f>
        <v/>
      </c>
    </row>
    <row r="11">
      <c r="A11" s="3" t="inlineStr">
        <is>
          <t>P-10</t>
        </is>
      </c>
      <c r="B11" s="3" t="inlineStr">
        <is>
          <t>Backup &amp; DR plan</t>
        </is>
      </c>
      <c r="C11" s="3" t="inlineStr">
        <is>
          <t>IT</t>
        </is>
      </c>
      <c r="D11" s="3" t="inlineStr">
        <is>
          <t>In Progress</t>
        </is>
      </c>
      <c r="E11" s="3" t="inlineStr">
        <is>
          <t>Eli</t>
        </is>
      </c>
      <c r="F11" s="9" t="n">
        <v>46266</v>
      </c>
      <c r="G11" s="9" t="n">
        <v>46356</v>
      </c>
      <c r="H11" s="9" t="n"/>
      <c r="I11" s="10" t="n">
        <v>6000</v>
      </c>
      <c r="J11" s="10" t="n">
        <v>1800</v>
      </c>
      <c r="K11" s="11">
        <f>IF(I11="","",J11-I11)</f>
        <v/>
      </c>
      <c r="L11">
        <f>IF(G11="","",IF(H11&lt;&gt;"",MAX(0,H11-G11),IF(AND(D11&lt;&gt;"Planned",TODAY()&gt;G11),TODAY()-G11,0)))</f>
        <v/>
      </c>
      <c r="M11">
        <f>IF(B11="","",IF(AND(K11&gt;0.1*I11,L11&gt;0),"Over budget + late",IF(K11&gt;0.1*I11,"Over budget",IF(L11&gt;0,"Late","On track"))))</f>
        <v/>
      </c>
    </row>
    <row r="12">
      <c r="A12" s="3" t="inlineStr">
        <is>
          <t>P-11</t>
        </is>
      </c>
      <c r="B12" s="3" t="inlineStr">
        <is>
          <t>Product photo refresh</t>
        </is>
      </c>
      <c r="C12" s="3" t="inlineStr">
        <is>
          <t>Website</t>
        </is>
      </c>
      <c r="D12" s="3" t="inlineStr">
        <is>
          <t>Done</t>
        </is>
      </c>
      <c r="E12" s="3" t="inlineStr">
        <is>
          <t>Ana</t>
        </is>
      </c>
      <c r="F12" s="9" t="n">
        <v>46235</v>
      </c>
      <c r="G12" s="9" t="n">
        <v>46265</v>
      </c>
      <c r="H12" s="9" t="n">
        <v>46264</v>
      </c>
      <c r="I12" s="10" t="n">
        <v>1800</v>
      </c>
      <c r="J12" s="10" t="n">
        <v>1650</v>
      </c>
      <c r="K12" s="11">
        <f>IF(I12="","",J12-I12)</f>
        <v/>
      </c>
      <c r="L12">
        <f>IF(G12="","",IF(H12&lt;&gt;"",MAX(0,H12-G12),IF(AND(D12&lt;&gt;"Planned",TODAY()&gt;G12),TODAY()-G12,0)))</f>
        <v/>
      </c>
      <c r="M12">
        <f>IF(B12="","",IF(AND(K12&gt;0.1*I12,L12&gt;0),"Over budget + late",IF(K12&gt;0.1*I12,"Over budget",IF(L12&gt;0,"Late","On track"))))</f>
        <v/>
      </c>
    </row>
    <row r="13">
      <c r="A13" s="3" t="inlineStr">
        <is>
          <t>P-12</t>
        </is>
      </c>
      <c r="B13" s="3" t="inlineStr">
        <is>
          <t>Loyalty program pilot</t>
        </is>
      </c>
      <c r="C13" s="3" t="inlineStr">
        <is>
          <t>Marketing</t>
        </is>
      </c>
      <c r="D13" s="3" t="inlineStr">
        <is>
          <t>In Progress</t>
        </is>
      </c>
      <c r="E13" s="3" t="inlineStr">
        <is>
          <t>Ben</t>
        </is>
      </c>
      <c r="F13" s="9" t="n">
        <v>46266</v>
      </c>
      <c r="G13" s="9" t="n">
        <v>46326</v>
      </c>
      <c r="H13" s="9" t="n"/>
      <c r="I13" s="10" t="n">
        <v>7000</v>
      </c>
      <c r="J13" s="10" t="n">
        <v>3100</v>
      </c>
      <c r="K13" s="11">
        <f>IF(I13="","",J13-I13)</f>
        <v/>
      </c>
      <c r="L13">
        <f>IF(G13="","",IF(H13&lt;&gt;"",MAX(0,H13-G13),IF(AND(D13&lt;&gt;"Planned",TODAY()&gt;G13),TODAY()-G13,0)))</f>
        <v/>
      </c>
      <c r="M13">
        <f>IF(B13="","",IF(AND(K13&gt;0.1*I13,L13&gt;0),"Over budget + late",IF(K13&gt;0.1*I13,"Over budget",IF(L13&gt;0,"Late","On track"))))</f>
        <v/>
      </c>
    </row>
    <row r="14">
      <c r="F14" s="12" t="n"/>
      <c r="G14" s="12" t="n"/>
      <c r="H14" s="12" t="n"/>
      <c r="I14" s="11" t="n"/>
      <c r="J14" s="11" t="n"/>
      <c r="K14" s="11">
        <f>IF(I14="","",J14-I14)</f>
        <v/>
      </c>
      <c r="L14">
        <f>IF(G14="","",IF(H14&lt;&gt;"",MAX(0,H14-G14),IF(AND(D14&lt;&gt;"Planned",TODAY()&gt;G14),TODAY()-G14,0)))</f>
        <v/>
      </c>
      <c r="M14">
        <f>IF(B14="","",IF(AND(K14&gt;0.1*I14,L14&gt;0),"Over budget + late",IF(K14&gt;0.1*I14,"Over budget",IF(L14&gt;0,"Late","On track"))))</f>
        <v/>
      </c>
    </row>
    <row r="15">
      <c r="F15" s="12" t="n"/>
      <c r="G15" s="12" t="n"/>
      <c r="H15" s="12" t="n"/>
      <c r="I15" s="11" t="n"/>
      <c r="J15" s="11" t="n"/>
      <c r="K15" s="11">
        <f>IF(I15="","",J15-I15)</f>
        <v/>
      </c>
      <c r="L15">
        <f>IF(G15="","",IF(H15&lt;&gt;"",MAX(0,H15-G15),IF(AND(D15&lt;&gt;"Planned",TODAY()&gt;G15),TODAY()-G15,0)))</f>
        <v/>
      </c>
      <c r="M15">
        <f>IF(B15="","",IF(AND(K15&gt;0.1*I15,L15&gt;0),"Over budget + late",IF(K15&gt;0.1*I15,"Over budget",IF(L15&gt;0,"Late","On track"))))</f>
        <v/>
      </c>
    </row>
    <row r="16">
      <c r="F16" s="12" t="n"/>
      <c r="G16" s="12" t="n"/>
      <c r="H16" s="12" t="n"/>
      <c r="I16" s="11" t="n"/>
      <c r="J16" s="11" t="n"/>
      <c r="K16" s="11">
        <f>IF(I16="","",J16-I16)</f>
        <v/>
      </c>
      <c r="L16">
        <f>IF(G16="","",IF(H16&lt;&gt;"",MAX(0,H16-G16),IF(AND(D16&lt;&gt;"Planned",TODAY()&gt;G16),TODAY()-G16,0)))</f>
        <v/>
      </c>
      <c r="M16">
        <f>IF(B16="","",IF(AND(K16&gt;0.1*I16,L16&gt;0),"Over budget + late",IF(K16&gt;0.1*I16,"Over budget",IF(L16&gt;0,"Late","On track"))))</f>
        <v/>
      </c>
    </row>
    <row r="17">
      <c r="F17" s="12" t="n"/>
      <c r="G17" s="12" t="n"/>
      <c r="H17" s="12" t="n"/>
      <c r="I17" s="11" t="n"/>
      <c r="J17" s="11" t="n"/>
      <c r="K17" s="11">
        <f>IF(I17="","",J17-I17)</f>
        <v/>
      </c>
      <c r="L17">
        <f>IF(G17="","",IF(H17&lt;&gt;"",MAX(0,H17-G17),IF(AND(D17&lt;&gt;"Planned",TODAY()&gt;G17),TODAY()-G17,0)))</f>
        <v/>
      </c>
      <c r="M17">
        <f>IF(B17="","",IF(AND(K17&gt;0.1*I17,L17&gt;0),"Over budget + late",IF(K17&gt;0.1*I17,"Over budget",IF(L17&gt;0,"Late","On track"))))</f>
        <v/>
      </c>
    </row>
    <row r="18">
      <c r="F18" s="12" t="n"/>
      <c r="G18" s="12" t="n"/>
      <c r="H18" s="12" t="n"/>
      <c r="I18" s="11" t="n"/>
      <c r="J18" s="11" t="n"/>
      <c r="K18" s="11">
        <f>IF(I18="","",J18-I18)</f>
        <v/>
      </c>
      <c r="L18">
        <f>IF(G18="","",IF(H18&lt;&gt;"",MAX(0,H18-G18),IF(AND(D18&lt;&gt;"Planned",TODAY()&gt;G18),TODAY()-G18,0)))</f>
        <v/>
      </c>
      <c r="M18">
        <f>IF(B18="","",IF(AND(K18&gt;0.1*I18,L18&gt;0),"Over budget + late",IF(K18&gt;0.1*I18,"Over budget",IF(L18&gt;0,"Late","On track"))))</f>
        <v/>
      </c>
    </row>
    <row r="19">
      <c r="F19" s="12" t="n"/>
      <c r="G19" s="12" t="n"/>
      <c r="H19" s="12" t="n"/>
      <c r="I19" s="11" t="n"/>
      <c r="J19" s="11" t="n"/>
      <c r="K19" s="11">
        <f>IF(I19="","",J19-I19)</f>
        <v/>
      </c>
      <c r="L19">
        <f>IF(G19="","",IF(H19&lt;&gt;"",MAX(0,H19-G19),IF(AND(D19&lt;&gt;"Planned",TODAY()&gt;G19),TODAY()-G19,0)))</f>
        <v/>
      </c>
      <c r="M19">
        <f>IF(B19="","",IF(AND(K19&gt;0.1*I19,L19&gt;0),"Over budget + late",IF(K19&gt;0.1*I19,"Over budget",IF(L19&gt;0,"Late","On track"))))</f>
        <v/>
      </c>
    </row>
    <row r="20">
      <c r="F20" s="12" t="n"/>
      <c r="G20" s="12" t="n"/>
      <c r="H20" s="12" t="n"/>
      <c r="I20" s="11" t="n"/>
      <c r="J20" s="11" t="n"/>
      <c r="K20" s="11">
        <f>IF(I20="","",J20-I20)</f>
        <v/>
      </c>
      <c r="L20">
        <f>IF(G20="","",IF(H20&lt;&gt;"",MAX(0,H20-G20),IF(AND(D20&lt;&gt;"Planned",TODAY()&gt;G20),TODAY()-G20,0)))</f>
        <v/>
      </c>
      <c r="M20">
        <f>IF(B20="","",IF(AND(K20&gt;0.1*I20,L20&gt;0),"Over budget + late",IF(K20&gt;0.1*I20,"Over budget",IF(L20&gt;0,"Late","On track"))))</f>
        <v/>
      </c>
    </row>
    <row r="21">
      <c r="F21" s="12" t="n"/>
      <c r="G21" s="12" t="n"/>
      <c r="H21" s="12" t="n"/>
      <c r="I21" s="11" t="n"/>
      <c r="J21" s="11" t="n"/>
      <c r="K21" s="11">
        <f>IF(I21="","",J21-I21)</f>
        <v/>
      </c>
      <c r="L21">
        <f>IF(G21="","",IF(H21&lt;&gt;"",MAX(0,H21-G21),IF(AND(D21&lt;&gt;"Planned",TODAY()&gt;G21),TODAY()-G21,0)))</f>
        <v/>
      </c>
      <c r="M21">
        <f>IF(B21="","",IF(AND(K21&gt;0.1*I21,L21&gt;0),"Over budget + late",IF(K21&gt;0.1*I21,"Over budget",IF(L21&gt;0,"Late","On track"))))</f>
        <v/>
      </c>
    </row>
    <row r="22">
      <c r="F22" s="12" t="n"/>
      <c r="G22" s="12" t="n"/>
      <c r="H22" s="12" t="n"/>
      <c r="I22" s="11" t="n"/>
      <c r="J22" s="11" t="n"/>
      <c r="K22" s="11">
        <f>IF(I22="","",J22-I22)</f>
        <v/>
      </c>
      <c r="L22">
        <f>IF(G22="","",IF(H22&lt;&gt;"",MAX(0,H22-G22),IF(AND(D22&lt;&gt;"Planned",TODAY()&gt;G22),TODAY()-G22,0)))</f>
        <v/>
      </c>
      <c r="M22">
        <f>IF(B22="","",IF(AND(K22&gt;0.1*I22,L22&gt;0),"Over budget + late",IF(K22&gt;0.1*I22,"Over budget",IF(L22&gt;0,"Late","On track"))))</f>
        <v/>
      </c>
    </row>
    <row r="23">
      <c r="F23" s="12" t="n"/>
      <c r="G23" s="12" t="n"/>
      <c r="H23" s="12" t="n"/>
      <c r="I23" s="11" t="n"/>
      <c r="J23" s="11" t="n"/>
      <c r="K23" s="11">
        <f>IF(I23="","",J23-I23)</f>
        <v/>
      </c>
      <c r="L23">
        <f>IF(G23="","",IF(H23&lt;&gt;"",MAX(0,H23-G23),IF(AND(D23&lt;&gt;"Planned",TODAY()&gt;G23),TODAY()-G23,0)))</f>
        <v/>
      </c>
      <c r="M23">
        <f>IF(B23="","",IF(AND(K23&gt;0.1*I23,L23&gt;0),"Over budget + late",IF(K23&gt;0.1*I23,"Over budget",IF(L23&gt;0,"Late","On track"))))</f>
        <v/>
      </c>
    </row>
    <row r="24">
      <c r="F24" s="12" t="n"/>
      <c r="G24" s="12" t="n"/>
      <c r="H24" s="12" t="n"/>
      <c r="I24" s="11" t="n"/>
      <c r="J24" s="11" t="n"/>
      <c r="K24" s="11">
        <f>IF(I24="","",J24-I24)</f>
        <v/>
      </c>
      <c r="L24">
        <f>IF(G24="","",IF(H24&lt;&gt;"",MAX(0,H24-G24),IF(AND(D24&lt;&gt;"Planned",TODAY()&gt;G24),TODAY()-G24,0)))</f>
        <v/>
      </c>
      <c r="M24">
        <f>IF(B24="","",IF(AND(K24&gt;0.1*I24,L24&gt;0),"Over budget + late",IF(K24&gt;0.1*I24,"Over budget",IF(L24&gt;0,"Late","On track"))))</f>
        <v/>
      </c>
    </row>
    <row r="25">
      <c r="F25" s="12" t="n"/>
      <c r="G25" s="12" t="n"/>
      <c r="H25" s="12" t="n"/>
      <c r="I25" s="11" t="n"/>
      <c r="J25" s="11" t="n"/>
      <c r="K25" s="11">
        <f>IF(I25="","",J25-I25)</f>
        <v/>
      </c>
      <c r="L25">
        <f>IF(G25="","",IF(H25&lt;&gt;"",MAX(0,H25-G25),IF(AND(D25&lt;&gt;"Planned",TODAY()&gt;G25),TODAY()-G25,0)))</f>
        <v/>
      </c>
      <c r="M25">
        <f>IF(B25="","",IF(AND(K25&gt;0.1*I25,L25&gt;0),"Over budget + late",IF(K25&gt;0.1*I25,"Over budget",IF(L25&gt;0,"Late","On track"))))</f>
        <v/>
      </c>
    </row>
    <row r="26">
      <c r="F26" s="12" t="n"/>
      <c r="G26" s="12" t="n"/>
      <c r="H26" s="12" t="n"/>
      <c r="I26" s="11" t="n"/>
      <c r="J26" s="11" t="n"/>
      <c r="K26" s="11">
        <f>IF(I26="","",J26-I26)</f>
        <v/>
      </c>
      <c r="L26">
        <f>IF(G26="","",IF(H26&lt;&gt;"",MAX(0,H26-G26),IF(AND(D26&lt;&gt;"Planned",TODAY()&gt;G26),TODAY()-G26,0)))</f>
        <v/>
      </c>
      <c r="M26">
        <f>IF(B26="","",IF(AND(K26&gt;0.1*I26,L26&gt;0),"Over budget + late",IF(K26&gt;0.1*I26,"Over budget",IF(L26&gt;0,"Late","On track"))))</f>
        <v/>
      </c>
    </row>
    <row r="27">
      <c r="F27" s="12" t="n"/>
      <c r="G27" s="12" t="n"/>
      <c r="H27" s="12" t="n"/>
      <c r="I27" s="11" t="n"/>
      <c r="J27" s="11" t="n"/>
      <c r="K27" s="11">
        <f>IF(I27="","",J27-I27)</f>
        <v/>
      </c>
      <c r="L27">
        <f>IF(G27="","",IF(H27&lt;&gt;"",MAX(0,H27-G27),IF(AND(D27&lt;&gt;"Planned",TODAY()&gt;G27),TODAY()-G27,0)))</f>
        <v/>
      </c>
      <c r="M27">
        <f>IF(B27="","",IF(AND(K27&gt;0.1*I27,L27&gt;0),"Over budget + late",IF(K27&gt;0.1*I27,"Over budget",IF(L27&gt;0,"Late","On track"))))</f>
        <v/>
      </c>
    </row>
    <row r="28">
      <c r="F28" s="12" t="n"/>
      <c r="G28" s="12" t="n"/>
      <c r="H28" s="12" t="n"/>
      <c r="I28" s="11" t="n"/>
      <c r="J28" s="11" t="n"/>
      <c r="K28" s="11">
        <f>IF(I28="","",J28-I28)</f>
        <v/>
      </c>
      <c r="L28">
        <f>IF(G28="","",IF(H28&lt;&gt;"",MAX(0,H28-G28),IF(AND(D28&lt;&gt;"Planned",TODAY()&gt;G28),TODAY()-G28,0)))</f>
        <v/>
      </c>
      <c r="M28">
        <f>IF(B28="","",IF(AND(K28&gt;0.1*I28,L28&gt;0),"Over budget + late",IF(K28&gt;0.1*I28,"Over budget",IF(L28&gt;0,"Late","On track"))))</f>
        <v/>
      </c>
    </row>
    <row r="29">
      <c r="F29" s="12" t="n"/>
      <c r="G29" s="12" t="n"/>
      <c r="H29" s="12" t="n"/>
      <c r="I29" s="11" t="n"/>
      <c r="J29" s="11" t="n"/>
      <c r="K29" s="11">
        <f>IF(I29="","",J29-I29)</f>
        <v/>
      </c>
      <c r="L29">
        <f>IF(G29="","",IF(H29&lt;&gt;"",MAX(0,H29-G29),IF(AND(D29&lt;&gt;"Planned",TODAY()&gt;G29),TODAY()-G29,0)))</f>
        <v/>
      </c>
      <c r="M29">
        <f>IF(B29="","",IF(AND(K29&gt;0.1*I29,L29&gt;0),"Over budget + late",IF(K29&gt;0.1*I29,"Over budget",IF(L29&gt;0,"Late","On track"))))</f>
        <v/>
      </c>
    </row>
    <row r="30">
      <c r="F30" s="12" t="n"/>
      <c r="G30" s="12" t="n"/>
      <c r="H30" s="12" t="n"/>
      <c r="I30" s="11" t="n"/>
      <c r="J30" s="11" t="n"/>
      <c r="K30" s="11">
        <f>IF(I30="","",J30-I30)</f>
        <v/>
      </c>
      <c r="L30">
        <f>IF(G30="","",IF(H30&lt;&gt;"",MAX(0,H30-G30),IF(AND(D30&lt;&gt;"Planned",TODAY()&gt;G30),TODAY()-G30,0)))</f>
        <v/>
      </c>
      <c r="M30">
        <f>IF(B30="","",IF(AND(K30&gt;0.1*I30,L30&gt;0),"Over budget + late",IF(K30&gt;0.1*I30,"Over budget",IF(L30&gt;0,"Late","On track"))))</f>
        <v/>
      </c>
    </row>
    <row r="31">
      <c r="F31" s="12" t="n"/>
      <c r="G31" s="12" t="n"/>
      <c r="H31" s="12" t="n"/>
      <c r="I31" s="11" t="n"/>
      <c r="J31" s="11" t="n"/>
      <c r="K31" s="11">
        <f>IF(I31="","",J31-I31)</f>
        <v/>
      </c>
      <c r="L31">
        <f>IF(G31="","",IF(H31&lt;&gt;"",MAX(0,H31-G31),IF(AND(D31&lt;&gt;"Planned",TODAY()&gt;G31),TODAY()-G31,0)))</f>
        <v/>
      </c>
      <c r="M31">
        <f>IF(B31="","",IF(AND(K31&gt;0.1*I31,L31&gt;0),"Over budget + late",IF(K31&gt;0.1*I31,"Over budget",IF(L31&gt;0,"Late","On track"))))</f>
        <v/>
      </c>
    </row>
    <row r="32">
      <c r="F32" s="12" t="n"/>
      <c r="G32" s="12" t="n"/>
      <c r="H32" s="12" t="n"/>
      <c r="I32" s="11" t="n"/>
      <c r="J32" s="11" t="n"/>
      <c r="K32" s="11">
        <f>IF(I32="","",J32-I32)</f>
        <v/>
      </c>
      <c r="L32">
        <f>IF(G32="","",IF(H32&lt;&gt;"",MAX(0,H32-G32),IF(AND(D32&lt;&gt;"Planned",TODAY()&gt;G32),TODAY()-G32,0)))</f>
        <v/>
      </c>
      <c r="M32">
        <f>IF(B32="","",IF(AND(K32&gt;0.1*I32,L32&gt;0),"Over budget + late",IF(K32&gt;0.1*I32,"Over budget",IF(L32&gt;0,"Late","On track"))))</f>
        <v/>
      </c>
    </row>
    <row r="33">
      <c r="F33" s="12" t="n"/>
      <c r="G33" s="12" t="n"/>
      <c r="H33" s="12" t="n"/>
      <c r="I33" s="11" t="n"/>
      <c r="J33" s="11" t="n"/>
      <c r="K33" s="11">
        <f>IF(I33="","",J33-I33)</f>
        <v/>
      </c>
      <c r="L33">
        <f>IF(G33="","",IF(H33&lt;&gt;"",MAX(0,H33-G33),IF(AND(D33&lt;&gt;"Planned",TODAY()&gt;G33),TODAY()-G33,0)))</f>
        <v/>
      </c>
      <c r="M33">
        <f>IF(B33="","",IF(AND(K33&gt;0.1*I33,L33&gt;0),"Over budget + late",IF(K33&gt;0.1*I33,"Over budget",IF(L33&gt;0,"Late","On track"))))</f>
        <v/>
      </c>
    </row>
    <row r="34">
      <c r="F34" s="12" t="n"/>
      <c r="G34" s="12" t="n"/>
      <c r="H34" s="12" t="n"/>
      <c r="I34" s="11" t="n"/>
      <c r="J34" s="11" t="n"/>
      <c r="K34" s="11">
        <f>IF(I34="","",J34-I34)</f>
        <v/>
      </c>
      <c r="L34">
        <f>IF(G34="","",IF(H34&lt;&gt;"",MAX(0,H34-G34),IF(AND(D34&lt;&gt;"Planned",TODAY()&gt;G34),TODAY()-G34,0)))</f>
        <v/>
      </c>
      <c r="M34">
        <f>IF(B34="","",IF(AND(K34&gt;0.1*I34,L34&gt;0),"Over budget + late",IF(K34&gt;0.1*I34,"Over budget",IF(L34&gt;0,"Late","On track"))))</f>
        <v/>
      </c>
    </row>
    <row r="35">
      <c r="F35" s="12" t="n"/>
      <c r="G35" s="12" t="n"/>
      <c r="H35" s="12" t="n"/>
      <c r="I35" s="11" t="n"/>
      <c r="J35" s="11" t="n"/>
      <c r="K35" s="11">
        <f>IF(I35="","",J35-I35)</f>
        <v/>
      </c>
      <c r="L35">
        <f>IF(G35="","",IF(H35&lt;&gt;"",MAX(0,H35-G35),IF(AND(D35&lt;&gt;"Planned",TODAY()&gt;G35),TODAY()-G35,0)))</f>
        <v/>
      </c>
      <c r="M35">
        <f>IF(B35="","",IF(AND(K35&gt;0.1*I35,L35&gt;0),"Over budget + late",IF(K35&gt;0.1*I35,"Over budget",IF(L35&gt;0,"Late","On track"))))</f>
        <v/>
      </c>
    </row>
    <row r="36">
      <c r="F36" s="12" t="n"/>
      <c r="G36" s="12" t="n"/>
      <c r="H36" s="12" t="n"/>
      <c r="I36" s="11" t="n"/>
      <c r="J36" s="11" t="n"/>
      <c r="K36" s="11">
        <f>IF(I36="","",J36-I36)</f>
        <v/>
      </c>
      <c r="L36">
        <f>IF(G36="","",IF(H36&lt;&gt;"",MAX(0,H36-G36),IF(AND(D36&lt;&gt;"Planned",TODAY()&gt;G36),TODAY()-G36,0)))</f>
        <v/>
      </c>
      <c r="M36">
        <f>IF(B36="","",IF(AND(K36&gt;0.1*I36,L36&gt;0),"Over budget + late",IF(K36&gt;0.1*I36,"Over budget",IF(L36&gt;0,"Late","On track"))))</f>
        <v/>
      </c>
    </row>
    <row r="37">
      <c r="F37" s="12" t="n"/>
      <c r="G37" s="12" t="n"/>
      <c r="H37" s="12" t="n"/>
      <c r="I37" s="11" t="n"/>
      <c r="J37" s="11" t="n"/>
      <c r="K37" s="11">
        <f>IF(I37="","",J37-I37)</f>
        <v/>
      </c>
      <c r="L37">
        <f>IF(G37="","",IF(H37&lt;&gt;"",MAX(0,H37-G37),IF(AND(D37&lt;&gt;"Planned",TODAY()&gt;G37),TODAY()-G37,0)))</f>
        <v/>
      </c>
      <c r="M37">
        <f>IF(B37="","",IF(AND(K37&gt;0.1*I37,L37&gt;0),"Over budget + late",IF(K37&gt;0.1*I37,"Over budget",IF(L37&gt;0,"Late","On track"))))</f>
        <v/>
      </c>
    </row>
    <row r="38">
      <c r="F38" s="12" t="n"/>
      <c r="G38" s="12" t="n"/>
      <c r="H38" s="12" t="n"/>
      <c r="I38" s="11" t="n"/>
      <c r="J38" s="11" t="n"/>
      <c r="K38" s="11">
        <f>IF(I38="","",J38-I38)</f>
        <v/>
      </c>
      <c r="L38">
        <f>IF(G38="","",IF(H38&lt;&gt;"",MAX(0,H38-G38),IF(AND(D38&lt;&gt;"Planned",TODAY()&gt;G38),TODAY()-G38,0)))</f>
        <v/>
      </c>
      <c r="M38">
        <f>IF(B38="","",IF(AND(K38&gt;0.1*I38,L38&gt;0),"Over budget + late",IF(K38&gt;0.1*I38,"Over budget",IF(L38&gt;0,"Late","On track"))))</f>
        <v/>
      </c>
    </row>
    <row r="39">
      <c r="F39" s="12" t="n"/>
      <c r="G39" s="12" t="n"/>
      <c r="H39" s="12" t="n"/>
      <c r="I39" s="11" t="n"/>
      <c r="J39" s="11" t="n"/>
      <c r="K39" s="11">
        <f>IF(I39="","",J39-I39)</f>
        <v/>
      </c>
      <c r="L39">
        <f>IF(G39="","",IF(H39&lt;&gt;"",MAX(0,H39-G39),IF(AND(D39&lt;&gt;"Planned",TODAY()&gt;G39),TODAY()-G39,0)))</f>
        <v/>
      </c>
      <c r="M39">
        <f>IF(B39="","",IF(AND(K39&gt;0.1*I39,L39&gt;0),"Over budget + late",IF(K39&gt;0.1*I39,"Over budget",IF(L39&gt;0,"Late","On track"))))</f>
        <v/>
      </c>
    </row>
    <row r="40">
      <c r="F40" s="12" t="n"/>
      <c r="G40" s="12" t="n"/>
      <c r="H40" s="12" t="n"/>
      <c r="I40" s="11" t="n"/>
      <c r="J40" s="11" t="n"/>
      <c r="K40" s="11">
        <f>IF(I40="","",J40-I40)</f>
        <v/>
      </c>
      <c r="L40">
        <f>IF(G40="","",IF(H40&lt;&gt;"",MAX(0,H40-G40),IF(AND(D40&lt;&gt;"Planned",TODAY()&gt;G40),TODAY()-G40,0)))</f>
        <v/>
      </c>
      <c r="M40">
        <f>IF(B40="","",IF(AND(K40&gt;0.1*I40,L40&gt;0),"Over budget + late",IF(K40&gt;0.1*I40,"Over budget",IF(L40&gt;0,"Late","On track"))))</f>
        <v/>
      </c>
    </row>
    <row r="41">
      <c r="F41" s="12" t="n"/>
      <c r="G41" s="12" t="n"/>
      <c r="H41" s="12" t="n"/>
      <c r="I41" s="11" t="n"/>
      <c r="J41" s="11" t="n"/>
      <c r="K41" s="11">
        <f>IF(I41="","",J41-I41)</f>
        <v/>
      </c>
      <c r="L41">
        <f>IF(G41="","",IF(H41&lt;&gt;"",MAX(0,H41-G41),IF(AND(D41&lt;&gt;"Planned",TODAY()&gt;G41),TODAY()-G41,0)))</f>
        <v/>
      </c>
      <c r="M41">
        <f>IF(B41="","",IF(AND(K41&gt;0.1*I41,L41&gt;0),"Over budget + late",IF(K41&gt;0.1*I41,"Over budget",IF(L41&gt;0,"Late","On track"))))</f>
        <v/>
      </c>
    </row>
    <row r="42">
      <c r="F42" s="12" t="n"/>
      <c r="G42" s="12" t="n"/>
      <c r="H42" s="12" t="n"/>
      <c r="I42" s="11" t="n"/>
      <c r="J42" s="11" t="n"/>
      <c r="K42" s="11">
        <f>IF(I42="","",J42-I42)</f>
        <v/>
      </c>
      <c r="L42">
        <f>IF(G42="","",IF(H42&lt;&gt;"",MAX(0,H42-G42),IF(AND(D42&lt;&gt;"Planned",TODAY()&gt;G42),TODAY()-G42,0)))</f>
        <v/>
      </c>
      <c r="M42">
        <f>IF(B42="","",IF(AND(K42&gt;0.1*I42,L42&gt;0),"Over budget + late",IF(K42&gt;0.1*I42,"Over budget",IF(L42&gt;0,"Late","On track"))))</f>
        <v/>
      </c>
    </row>
    <row r="43">
      <c r="F43" s="12" t="n"/>
      <c r="G43" s="12" t="n"/>
      <c r="H43" s="12" t="n"/>
      <c r="I43" s="11" t="n"/>
      <c r="J43" s="11" t="n"/>
      <c r="K43" s="11">
        <f>IF(I43="","",J43-I43)</f>
        <v/>
      </c>
      <c r="L43">
        <f>IF(G43="","",IF(H43&lt;&gt;"",MAX(0,H43-G43),IF(AND(D43&lt;&gt;"Planned",TODAY()&gt;G43),TODAY()-G43,0)))</f>
        <v/>
      </c>
      <c r="M43">
        <f>IF(B43="","",IF(AND(K43&gt;0.1*I43,L43&gt;0),"Over budget + late",IF(K43&gt;0.1*I43,"Over budget",IF(L43&gt;0,"Late","On track"))))</f>
        <v/>
      </c>
    </row>
    <row r="44">
      <c r="F44" s="12" t="n"/>
      <c r="G44" s="12" t="n"/>
      <c r="H44" s="12" t="n"/>
      <c r="I44" s="11" t="n"/>
      <c r="J44" s="11" t="n"/>
      <c r="K44" s="11">
        <f>IF(I44="","",J44-I44)</f>
        <v/>
      </c>
      <c r="L44">
        <f>IF(G44="","",IF(H44&lt;&gt;"",MAX(0,H44-G44),IF(AND(D44&lt;&gt;"Planned",TODAY()&gt;G44),TODAY()-G44,0)))</f>
        <v/>
      </c>
      <c r="M44">
        <f>IF(B44="","",IF(AND(K44&gt;0.1*I44,L44&gt;0),"Over budget + late",IF(K44&gt;0.1*I44,"Over budget",IF(L44&gt;0,"Late","On track"))))</f>
        <v/>
      </c>
    </row>
    <row r="45">
      <c r="F45" s="12" t="n"/>
      <c r="G45" s="12" t="n"/>
      <c r="H45" s="12" t="n"/>
      <c r="I45" s="11" t="n"/>
      <c r="J45" s="11" t="n"/>
      <c r="K45" s="11">
        <f>IF(I45="","",J45-I45)</f>
        <v/>
      </c>
      <c r="L45">
        <f>IF(G45="","",IF(H45&lt;&gt;"",MAX(0,H45-G45),IF(AND(D45&lt;&gt;"Planned",TODAY()&gt;G45),TODAY()-G45,0)))</f>
        <v/>
      </c>
      <c r="M45">
        <f>IF(B45="","",IF(AND(K45&gt;0.1*I45,L45&gt;0),"Over budget + late",IF(K45&gt;0.1*I45,"Over budget",IF(L45&gt;0,"Late","On track"))))</f>
        <v/>
      </c>
    </row>
    <row r="46">
      <c r="F46" s="12" t="n"/>
      <c r="G46" s="12" t="n"/>
      <c r="H46" s="12" t="n"/>
      <c r="I46" s="11" t="n"/>
      <c r="J46" s="11" t="n"/>
      <c r="K46" s="11">
        <f>IF(I46="","",J46-I46)</f>
        <v/>
      </c>
      <c r="L46">
        <f>IF(G46="","",IF(H46&lt;&gt;"",MAX(0,H46-G46),IF(AND(D46&lt;&gt;"Planned",TODAY()&gt;G46),TODAY()-G46,0)))</f>
        <v/>
      </c>
      <c r="M46">
        <f>IF(B46="","",IF(AND(K46&gt;0.1*I46,L46&gt;0),"Over budget + late",IF(K46&gt;0.1*I46,"Over budget",IF(L46&gt;0,"Late","On track"))))</f>
        <v/>
      </c>
    </row>
    <row r="47">
      <c r="F47" s="12" t="n"/>
      <c r="G47" s="12" t="n"/>
      <c r="H47" s="12" t="n"/>
      <c r="I47" s="11" t="n"/>
      <c r="J47" s="11" t="n"/>
      <c r="K47" s="11">
        <f>IF(I47="","",J47-I47)</f>
        <v/>
      </c>
      <c r="L47">
        <f>IF(G47="","",IF(H47&lt;&gt;"",MAX(0,H47-G47),IF(AND(D47&lt;&gt;"Planned",TODAY()&gt;G47),TODAY()-G47,0)))</f>
        <v/>
      </c>
      <c r="M47">
        <f>IF(B47="","",IF(AND(K47&gt;0.1*I47,L47&gt;0),"Over budget + late",IF(K47&gt;0.1*I47,"Over budget",IF(L47&gt;0,"Late","On track"))))</f>
        <v/>
      </c>
    </row>
    <row r="48">
      <c r="F48" s="12" t="n"/>
      <c r="G48" s="12" t="n"/>
      <c r="H48" s="12" t="n"/>
      <c r="I48" s="11" t="n"/>
      <c r="J48" s="11" t="n"/>
      <c r="K48" s="11">
        <f>IF(I48="","",J48-I48)</f>
        <v/>
      </c>
      <c r="L48">
        <f>IF(G48="","",IF(H48&lt;&gt;"",MAX(0,H48-G48),IF(AND(D48&lt;&gt;"Planned",TODAY()&gt;G48),TODAY()-G48,0)))</f>
        <v/>
      </c>
      <c r="M48">
        <f>IF(B48="","",IF(AND(K48&gt;0.1*I48,L48&gt;0),"Over budget + late",IF(K48&gt;0.1*I48,"Over budget",IF(L48&gt;0,"Late","On track"))))</f>
        <v/>
      </c>
    </row>
    <row r="49">
      <c r="F49" s="12" t="n"/>
      <c r="G49" s="12" t="n"/>
      <c r="H49" s="12" t="n"/>
      <c r="I49" s="11" t="n"/>
      <c r="J49" s="11" t="n"/>
      <c r="K49" s="11">
        <f>IF(I49="","",J49-I49)</f>
        <v/>
      </c>
      <c r="L49">
        <f>IF(G49="","",IF(H49&lt;&gt;"",MAX(0,H49-G49),IF(AND(D49&lt;&gt;"Planned",TODAY()&gt;G49),TODAY()-G49,0)))</f>
        <v/>
      </c>
      <c r="M49">
        <f>IF(B49="","",IF(AND(K49&gt;0.1*I49,L49&gt;0),"Over budget + late",IF(K49&gt;0.1*I49,"Over budget",IF(L49&gt;0,"Late","On track"))))</f>
        <v/>
      </c>
    </row>
    <row r="50">
      <c r="F50" s="12" t="n"/>
      <c r="G50" s="12" t="n"/>
      <c r="H50" s="12" t="n"/>
      <c r="I50" s="11" t="n"/>
      <c r="J50" s="11" t="n"/>
      <c r="K50" s="11">
        <f>IF(I50="","",J50-I50)</f>
        <v/>
      </c>
      <c r="L50">
        <f>IF(G50="","",IF(H50&lt;&gt;"",MAX(0,H50-G50),IF(AND(D50&lt;&gt;"Planned",TODAY()&gt;G50),TODAY()-G50,0)))</f>
        <v/>
      </c>
      <c r="M50">
        <f>IF(B50="","",IF(AND(K50&gt;0.1*I50,L50&gt;0),"Over budget + late",IF(K50&gt;0.1*I50,"Over budget",IF(L50&gt;0,"Late","On track"))))</f>
        <v/>
      </c>
    </row>
    <row r="51">
      <c r="F51" s="12" t="n"/>
      <c r="G51" s="12" t="n"/>
      <c r="H51" s="12" t="n"/>
      <c r="I51" s="11" t="n"/>
      <c r="J51" s="11" t="n"/>
      <c r="K51" s="11">
        <f>IF(I51="","",J51-I51)</f>
        <v/>
      </c>
      <c r="L51">
        <f>IF(G51="","",IF(H51&lt;&gt;"",MAX(0,H51-G51),IF(AND(D51&lt;&gt;"Planned",TODAY()&gt;G51),TODAY()-G51,0)))</f>
        <v/>
      </c>
      <c r="M51">
        <f>IF(B51="","",IF(AND(K51&gt;0.1*I51,L51&gt;0),"Over budget + late",IF(K51&gt;0.1*I51,"Over budget",IF(L51&gt;0,"Late","On track"))))</f>
        <v/>
      </c>
    </row>
    <row r="52">
      <c r="F52" s="12" t="n"/>
      <c r="G52" s="12" t="n"/>
      <c r="H52" s="12" t="n"/>
      <c r="I52" s="11" t="n"/>
      <c r="J52" s="11" t="n"/>
      <c r="K52" s="11">
        <f>IF(I52="","",J52-I52)</f>
        <v/>
      </c>
      <c r="L52">
        <f>IF(G52="","",IF(H52&lt;&gt;"",MAX(0,H52-G52),IF(AND(D52&lt;&gt;"Planned",TODAY()&gt;G52),TODAY()-G52,0)))</f>
        <v/>
      </c>
      <c r="M52">
        <f>IF(B52="","",IF(AND(K52&gt;0.1*I52,L52&gt;0),"Over budget + late",IF(K52&gt;0.1*I52,"Over budget",IF(L52&gt;0,"Late","On track"))))</f>
        <v/>
      </c>
    </row>
    <row r="53">
      <c r="F53" s="12" t="n"/>
      <c r="G53" s="12" t="n"/>
      <c r="H53" s="12" t="n"/>
      <c r="I53" s="11" t="n"/>
      <c r="J53" s="11" t="n"/>
      <c r="K53" s="11">
        <f>IF(I53="","",J53-I53)</f>
        <v/>
      </c>
      <c r="L53">
        <f>IF(G53="","",IF(H53&lt;&gt;"",MAX(0,H53-G53),IF(AND(D53&lt;&gt;"Planned",TODAY()&gt;G53),TODAY()-G53,0)))</f>
        <v/>
      </c>
      <c r="M53">
        <f>IF(B53="","",IF(AND(K53&gt;0.1*I53,L53&gt;0),"Over budget + late",IF(K53&gt;0.1*I53,"Over budget",IF(L53&gt;0,"Late","On track"))))</f>
        <v/>
      </c>
    </row>
    <row r="54">
      <c r="F54" s="12" t="n"/>
      <c r="G54" s="12" t="n"/>
      <c r="H54" s="12" t="n"/>
      <c r="I54" s="11" t="n"/>
      <c r="J54" s="11" t="n"/>
      <c r="K54" s="11">
        <f>IF(I54="","",J54-I54)</f>
        <v/>
      </c>
      <c r="L54">
        <f>IF(G54="","",IF(H54&lt;&gt;"",MAX(0,H54-G54),IF(AND(D54&lt;&gt;"Planned",TODAY()&gt;G54),TODAY()-G54,0)))</f>
        <v/>
      </c>
      <c r="M54">
        <f>IF(B54="","",IF(AND(K54&gt;0.1*I54,L54&gt;0),"Over budget + late",IF(K54&gt;0.1*I54,"Over budget",IF(L54&gt;0,"Late","On track"))))</f>
        <v/>
      </c>
    </row>
    <row r="55">
      <c r="F55" s="12" t="n"/>
      <c r="G55" s="12" t="n"/>
      <c r="H55" s="12" t="n"/>
      <c r="I55" s="11" t="n"/>
      <c r="J55" s="11" t="n"/>
      <c r="K55" s="11">
        <f>IF(I55="","",J55-I55)</f>
        <v/>
      </c>
      <c r="L55">
        <f>IF(G55="","",IF(H55&lt;&gt;"",MAX(0,H55-G55),IF(AND(D55&lt;&gt;"Planned",TODAY()&gt;G55),TODAY()-G55,0)))</f>
        <v/>
      </c>
      <c r="M55">
        <f>IF(B55="","",IF(AND(K55&gt;0.1*I55,L55&gt;0),"Over budget + late",IF(K55&gt;0.1*I55,"Over budget",IF(L55&gt;0,"Late","On track"))))</f>
        <v/>
      </c>
    </row>
    <row r="56">
      <c r="F56" s="12" t="n"/>
      <c r="G56" s="12" t="n"/>
      <c r="H56" s="12" t="n"/>
      <c r="I56" s="11" t="n"/>
      <c r="J56" s="11" t="n"/>
      <c r="K56" s="11">
        <f>IF(I56="","",J56-I56)</f>
        <v/>
      </c>
      <c r="L56">
        <f>IF(G56="","",IF(H56&lt;&gt;"",MAX(0,H56-G56),IF(AND(D56&lt;&gt;"Planned",TODAY()&gt;G56),TODAY()-G56,0)))</f>
        <v/>
      </c>
      <c r="M56">
        <f>IF(B56="","",IF(AND(K56&gt;0.1*I56,L56&gt;0),"Over budget + late",IF(K56&gt;0.1*I56,"Over budget",IF(L56&gt;0,"Late","On track"))))</f>
        <v/>
      </c>
    </row>
    <row r="57">
      <c r="F57" s="12" t="n"/>
      <c r="G57" s="12" t="n"/>
      <c r="H57" s="12" t="n"/>
      <c r="I57" s="11" t="n"/>
      <c r="J57" s="11" t="n"/>
      <c r="K57" s="11">
        <f>IF(I57="","",J57-I57)</f>
        <v/>
      </c>
      <c r="L57">
        <f>IF(G57="","",IF(H57&lt;&gt;"",MAX(0,H57-G57),IF(AND(D57&lt;&gt;"Planned",TODAY()&gt;G57),TODAY()-G57,0)))</f>
        <v/>
      </c>
      <c r="M57">
        <f>IF(B57="","",IF(AND(K57&gt;0.1*I57,L57&gt;0),"Over budget + late",IF(K57&gt;0.1*I57,"Over budget",IF(L57&gt;0,"Late","On track"))))</f>
        <v/>
      </c>
    </row>
    <row r="58">
      <c r="F58" s="12" t="n"/>
      <c r="G58" s="12" t="n"/>
      <c r="H58" s="12" t="n"/>
      <c r="I58" s="11" t="n"/>
      <c r="J58" s="11" t="n"/>
      <c r="K58" s="11">
        <f>IF(I58="","",J58-I58)</f>
        <v/>
      </c>
      <c r="L58">
        <f>IF(G58="","",IF(H58&lt;&gt;"",MAX(0,H58-G58),IF(AND(D58&lt;&gt;"Planned",TODAY()&gt;G58),TODAY()-G58,0)))</f>
        <v/>
      </c>
      <c r="M58">
        <f>IF(B58="","",IF(AND(K58&gt;0.1*I58,L58&gt;0),"Over budget + late",IF(K58&gt;0.1*I58,"Over budget",IF(L58&gt;0,"Late","On track"))))</f>
        <v/>
      </c>
    </row>
    <row r="59">
      <c r="F59" s="12" t="n"/>
      <c r="G59" s="12" t="n"/>
      <c r="H59" s="12" t="n"/>
      <c r="I59" s="11" t="n"/>
      <c r="J59" s="11" t="n"/>
      <c r="K59" s="11">
        <f>IF(I59="","",J59-I59)</f>
        <v/>
      </c>
      <c r="L59">
        <f>IF(G59="","",IF(H59&lt;&gt;"",MAX(0,H59-G59),IF(AND(D59&lt;&gt;"Planned",TODAY()&gt;G59),TODAY()-G59,0)))</f>
        <v/>
      </c>
      <c r="M59">
        <f>IF(B59="","",IF(AND(K59&gt;0.1*I59,L59&gt;0),"Over budget + late",IF(K59&gt;0.1*I59,"Over budget",IF(L59&gt;0,"Late","On track"))))</f>
        <v/>
      </c>
    </row>
    <row r="60">
      <c r="F60" s="12" t="n"/>
      <c r="G60" s="12" t="n"/>
      <c r="H60" s="12" t="n"/>
      <c r="I60" s="11" t="n"/>
      <c r="J60" s="11" t="n"/>
      <c r="K60" s="11">
        <f>IF(I60="","",J60-I60)</f>
        <v/>
      </c>
      <c r="L60">
        <f>IF(G60="","",IF(H60&lt;&gt;"",MAX(0,H60-G60),IF(AND(D60&lt;&gt;"Planned",TODAY()&gt;G60),TODAY()-G60,0)))</f>
        <v/>
      </c>
      <c r="M60">
        <f>IF(B60="","",IF(AND(K60&gt;0.1*I60,L60&gt;0),"Over budget + late",IF(K60&gt;0.1*I60,"Over budget",IF(L60&gt;0,"Late","On track"))))</f>
        <v/>
      </c>
    </row>
    <row r="61">
      <c r="F61" s="12" t="n"/>
      <c r="G61" s="12" t="n"/>
      <c r="H61" s="12" t="n"/>
      <c r="I61" s="11" t="n"/>
      <c r="J61" s="11" t="n"/>
      <c r="K61" s="11">
        <f>IF(I61="","",J61-I61)</f>
        <v/>
      </c>
      <c r="L61">
        <f>IF(G61="","",IF(H61&lt;&gt;"",MAX(0,H61-G61),IF(AND(D61&lt;&gt;"Planned",TODAY()&gt;G61),TODAY()-G61,0)))</f>
        <v/>
      </c>
      <c r="M61">
        <f>IF(B61="","",IF(AND(K61&gt;0.1*I61,L61&gt;0),"Over budget + late",IF(K61&gt;0.1*I61,"Over budget",IF(L61&gt;0,"Late","On track"))))</f>
        <v/>
      </c>
    </row>
    <row r="62">
      <c r="F62" s="12" t="n"/>
      <c r="G62" s="12" t="n"/>
      <c r="H62" s="12" t="n"/>
      <c r="I62" s="11" t="n"/>
      <c r="J62" s="11" t="n"/>
      <c r="K62" s="11">
        <f>IF(I62="","",J62-I62)</f>
        <v/>
      </c>
      <c r="L62">
        <f>IF(G62="","",IF(H62&lt;&gt;"",MAX(0,H62-G62),IF(AND(D62&lt;&gt;"Planned",TODAY()&gt;G62),TODAY()-G62,0)))</f>
        <v/>
      </c>
      <c r="M62">
        <f>IF(B62="","",IF(AND(K62&gt;0.1*I62,L62&gt;0),"Over budget + late",IF(K62&gt;0.1*I62,"Over budget",IF(L62&gt;0,"Late","On track"))))</f>
        <v/>
      </c>
    </row>
    <row r="63">
      <c r="F63" s="12" t="n"/>
      <c r="G63" s="12" t="n"/>
      <c r="H63" s="12" t="n"/>
      <c r="I63" s="11" t="n"/>
      <c r="J63" s="11" t="n"/>
      <c r="K63" s="11">
        <f>IF(I63="","",J63-I63)</f>
        <v/>
      </c>
      <c r="L63">
        <f>IF(G63="","",IF(H63&lt;&gt;"",MAX(0,H63-G63),IF(AND(D63&lt;&gt;"Planned",TODAY()&gt;G63),TODAY()-G63,0)))</f>
        <v/>
      </c>
      <c r="M63">
        <f>IF(B63="","",IF(AND(K63&gt;0.1*I63,L63&gt;0),"Over budget + late",IF(K63&gt;0.1*I63,"Over budget",IF(L63&gt;0,"Late","On track"))))</f>
        <v/>
      </c>
    </row>
    <row r="64">
      <c r="F64" s="12" t="n"/>
      <c r="G64" s="12" t="n"/>
      <c r="H64" s="12" t="n"/>
      <c r="I64" s="11" t="n"/>
      <c r="J64" s="11" t="n"/>
      <c r="K64" s="11">
        <f>IF(I64="","",J64-I64)</f>
        <v/>
      </c>
      <c r="L64">
        <f>IF(G64="","",IF(H64&lt;&gt;"",MAX(0,H64-G64),IF(AND(D64&lt;&gt;"Planned",TODAY()&gt;G64),TODAY()-G64,0)))</f>
        <v/>
      </c>
      <c r="M64">
        <f>IF(B64="","",IF(AND(K64&gt;0.1*I64,L64&gt;0),"Over budget + late",IF(K64&gt;0.1*I64,"Over budget",IF(L64&gt;0,"Late","On track"))))</f>
        <v/>
      </c>
    </row>
    <row r="65">
      <c r="F65" s="12" t="n"/>
      <c r="G65" s="12" t="n"/>
      <c r="H65" s="12" t="n"/>
      <c r="I65" s="11" t="n"/>
      <c r="J65" s="11" t="n"/>
      <c r="K65" s="11">
        <f>IF(I65="","",J65-I65)</f>
        <v/>
      </c>
      <c r="L65">
        <f>IF(G65="","",IF(H65&lt;&gt;"",MAX(0,H65-G65),IF(AND(D65&lt;&gt;"Planned",TODAY()&gt;G65),TODAY()-G65,0)))</f>
        <v/>
      </c>
      <c r="M65">
        <f>IF(B65="","",IF(AND(K65&gt;0.1*I65,L65&gt;0),"Over budget + late",IF(K65&gt;0.1*I65,"Over budget",IF(L65&gt;0,"Late","On track"))))</f>
        <v/>
      </c>
    </row>
    <row r="66">
      <c r="F66" s="12" t="n"/>
      <c r="G66" s="12" t="n"/>
      <c r="H66" s="12" t="n"/>
      <c r="I66" s="11" t="n"/>
      <c r="J66" s="11" t="n"/>
      <c r="K66" s="11">
        <f>IF(I66="","",J66-I66)</f>
        <v/>
      </c>
      <c r="L66">
        <f>IF(G66="","",IF(H66&lt;&gt;"",MAX(0,H66-G66),IF(AND(D66&lt;&gt;"Planned",TODAY()&gt;G66),TODAY()-G66,0)))</f>
        <v/>
      </c>
      <c r="M66">
        <f>IF(B66="","",IF(AND(K66&gt;0.1*I66,L66&gt;0),"Over budget + late",IF(K66&gt;0.1*I66,"Over budget",IF(L66&gt;0,"Late","On track"))))</f>
        <v/>
      </c>
    </row>
    <row r="67">
      <c r="F67" s="12" t="n"/>
      <c r="G67" s="12" t="n"/>
      <c r="H67" s="12" t="n"/>
      <c r="I67" s="11" t="n"/>
      <c r="J67" s="11" t="n"/>
      <c r="K67" s="11">
        <f>IF(I67="","",J67-I67)</f>
        <v/>
      </c>
      <c r="L67">
        <f>IF(G67="","",IF(H67&lt;&gt;"",MAX(0,H67-G67),IF(AND(D67&lt;&gt;"Planned",TODAY()&gt;G67),TODAY()-G67,0)))</f>
        <v/>
      </c>
      <c r="M67">
        <f>IF(B67="","",IF(AND(K67&gt;0.1*I67,L67&gt;0),"Over budget + late",IF(K67&gt;0.1*I67,"Over budget",IF(L67&gt;0,"Late","On track"))))</f>
        <v/>
      </c>
    </row>
    <row r="68">
      <c r="F68" s="12" t="n"/>
      <c r="G68" s="12" t="n"/>
      <c r="H68" s="12" t="n"/>
      <c r="I68" s="11" t="n"/>
      <c r="J68" s="11" t="n"/>
      <c r="K68" s="11">
        <f>IF(I68="","",J68-I68)</f>
        <v/>
      </c>
      <c r="L68">
        <f>IF(G68="","",IF(H68&lt;&gt;"",MAX(0,H68-G68),IF(AND(D68&lt;&gt;"Planned",TODAY()&gt;G68),TODAY()-G68,0)))</f>
        <v/>
      </c>
      <c r="M68">
        <f>IF(B68="","",IF(AND(K68&gt;0.1*I68,L68&gt;0),"Over budget + late",IF(K68&gt;0.1*I68,"Over budget",IF(L68&gt;0,"Late","On track"))))</f>
        <v/>
      </c>
    </row>
    <row r="69">
      <c r="F69" s="12" t="n"/>
      <c r="G69" s="12" t="n"/>
      <c r="H69" s="12" t="n"/>
      <c r="I69" s="11" t="n"/>
      <c r="J69" s="11" t="n"/>
      <c r="K69" s="11">
        <f>IF(I69="","",J69-I69)</f>
        <v/>
      </c>
      <c r="L69">
        <f>IF(G69="","",IF(H69&lt;&gt;"",MAX(0,H69-G69),IF(AND(D69&lt;&gt;"Planned",TODAY()&gt;G69),TODAY()-G69,0)))</f>
        <v/>
      </c>
      <c r="M69">
        <f>IF(B69="","",IF(AND(K69&gt;0.1*I69,L69&gt;0),"Over budget + late",IF(K69&gt;0.1*I69,"Over budget",IF(L69&gt;0,"Late","On track"))))</f>
        <v/>
      </c>
    </row>
    <row r="70">
      <c r="F70" s="12" t="n"/>
      <c r="G70" s="12" t="n"/>
      <c r="H70" s="12" t="n"/>
      <c r="I70" s="11" t="n"/>
      <c r="J70" s="11" t="n"/>
      <c r="K70" s="11">
        <f>IF(I70="","",J70-I70)</f>
        <v/>
      </c>
      <c r="L70">
        <f>IF(G70="","",IF(H70&lt;&gt;"",MAX(0,H70-G70),IF(AND(D70&lt;&gt;"Planned",TODAY()&gt;G70),TODAY()-G70,0)))</f>
        <v/>
      </c>
      <c r="M70">
        <f>IF(B70="","",IF(AND(K70&gt;0.1*I70,L70&gt;0),"Over budget + late",IF(K70&gt;0.1*I70,"Over budget",IF(L70&gt;0,"Late","On track"))))</f>
        <v/>
      </c>
    </row>
    <row r="71">
      <c r="F71" s="12" t="n"/>
      <c r="G71" s="12" t="n"/>
      <c r="H71" s="12" t="n"/>
      <c r="I71" s="11" t="n"/>
      <c r="J71" s="11" t="n"/>
      <c r="K71" s="11">
        <f>IF(I71="","",J71-I71)</f>
        <v/>
      </c>
      <c r="L71">
        <f>IF(G71="","",IF(H71&lt;&gt;"",MAX(0,H71-G71),IF(AND(D71&lt;&gt;"Planned",TODAY()&gt;G71),TODAY()-G71,0)))</f>
        <v/>
      </c>
      <c r="M71">
        <f>IF(B71="","",IF(AND(K71&gt;0.1*I71,L71&gt;0),"Over budget + late",IF(K71&gt;0.1*I71,"Over budget",IF(L71&gt;0,"Late","On track"))))</f>
        <v/>
      </c>
    </row>
    <row r="72">
      <c r="F72" s="12" t="n"/>
      <c r="G72" s="12" t="n"/>
      <c r="H72" s="12" t="n"/>
      <c r="I72" s="11" t="n"/>
      <c r="J72" s="11" t="n"/>
      <c r="K72" s="11">
        <f>IF(I72="","",J72-I72)</f>
        <v/>
      </c>
      <c r="L72">
        <f>IF(G72="","",IF(H72&lt;&gt;"",MAX(0,H72-G72),IF(AND(D72&lt;&gt;"Planned",TODAY()&gt;G72),TODAY()-G72,0)))</f>
        <v/>
      </c>
      <c r="M72">
        <f>IF(B72="","",IF(AND(K72&gt;0.1*I72,L72&gt;0),"Over budget + late",IF(K72&gt;0.1*I72,"Over budget",IF(L72&gt;0,"Late","On track"))))</f>
        <v/>
      </c>
    </row>
    <row r="73">
      <c r="F73" s="12" t="n"/>
      <c r="G73" s="12" t="n"/>
      <c r="H73" s="12" t="n"/>
      <c r="I73" s="11" t="n"/>
      <c r="J73" s="11" t="n"/>
      <c r="K73" s="11">
        <f>IF(I73="","",J73-I73)</f>
        <v/>
      </c>
      <c r="L73">
        <f>IF(G73="","",IF(H73&lt;&gt;"",MAX(0,H73-G73),IF(AND(D73&lt;&gt;"Planned",TODAY()&gt;G73),TODAY()-G73,0)))</f>
        <v/>
      </c>
      <c r="M73">
        <f>IF(B73="","",IF(AND(K73&gt;0.1*I73,L73&gt;0),"Over budget + late",IF(K73&gt;0.1*I73,"Over budget",IF(L73&gt;0,"Late","On track"))))</f>
        <v/>
      </c>
    </row>
    <row r="74">
      <c r="F74" s="12" t="n"/>
      <c r="G74" s="12" t="n"/>
      <c r="H74" s="12" t="n"/>
      <c r="I74" s="11" t="n"/>
      <c r="J74" s="11" t="n"/>
      <c r="K74" s="11">
        <f>IF(I74="","",J74-I74)</f>
        <v/>
      </c>
      <c r="L74">
        <f>IF(G74="","",IF(H74&lt;&gt;"",MAX(0,H74-G74),IF(AND(D74&lt;&gt;"Planned",TODAY()&gt;G74),TODAY()-G74,0)))</f>
        <v/>
      </c>
      <c r="M74">
        <f>IF(B74="","",IF(AND(K74&gt;0.1*I74,L74&gt;0),"Over budget + late",IF(K74&gt;0.1*I74,"Over budget",IF(L74&gt;0,"Late","On track"))))</f>
        <v/>
      </c>
    </row>
    <row r="75">
      <c r="F75" s="12" t="n"/>
      <c r="G75" s="12" t="n"/>
      <c r="H75" s="12" t="n"/>
      <c r="I75" s="11" t="n"/>
      <c r="J75" s="11" t="n"/>
      <c r="K75" s="11">
        <f>IF(I75="","",J75-I75)</f>
        <v/>
      </c>
      <c r="L75">
        <f>IF(G75="","",IF(H75&lt;&gt;"",MAX(0,H75-G75),IF(AND(D75&lt;&gt;"Planned",TODAY()&gt;G75),TODAY()-G75,0)))</f>
        <v/>
      </c>
      <c r="M75">
        <f>IF(B75="","",IF(AND(K75&gt;0.1*I75,L75&gt;0),"Over budget + late",IF(K75&gt;0.1*I75,"Over budget",IF(L75&gt;0,"Late","On track"))))</f>
        <v/>
      </c>
    </row>
    <row r="76">
      <c r="F76" s="12" t="n"/>
      <c r="G76" s="12" t="n"/>
      <c r="H76" s="12" t="n"/>
      <c r="I76" s="11" t="n"/>
      <c r="J76" s="11" t="n"/>
      <c r="K76" s="11">
        <f>IF(I76="","",J76-I76)</f>
        <v/>
      </c>
      <c r="L76">
        <f>IF(G76="","",IF(H76&lt;&gt;"",MAX(0,H76-G76),IF(AND(D76&lt;&gt;"Planned",TODAY()&gt;G76),TODAY()-G76,0)))</f>
        <v/>
      </c>
      <c r="M76">
        <f>IF(B76="","",IF(AND(K76&gt;0.1*I76,L76&gt;0),"Over budget + late",IF(K76&gt;0.1*I76,"Over budget",IF(L76&gt;0,"Late","On track"))))</f>
        <v/>
      </c>
    </row>
    <row r="77">
      <c r="F77" s="12" t="n"/>
      <c r="G77" s="12" t="n"/>
      <c r="H77" s="12" t="n"/>
      <c r="I77" s="11" t="n"/>
      <c r="J77" s="11" t="n"/>
      <c r="K77" s="11">
        <f>IF(I77="","",J77-I77)</f>
        <v/>
      </c>
      <c r="L77">
        <f>IF(G77="","",IF(H77&lt;&gt;"",MAX(0,H77-G77),IF(AND(D77&lt;&gt;"Planned",TODAY()&gt;G77),TODAY()-G77,0)))</f>
        <v/>
      </c>
      <c r="M77">
        <f>IF(B77="","",IF(AND(K77&gt;0.1*I77,L77&gt;0),"Over budget + late",IF(K77&gt;0.1*I77,"Over budget",IF(L77&gt;0,"Late","On track"))))</f>
        <v/>
      </c>
    </row>
    <row r="78">
      <c r="F78" s="12" t="n"/>
      <c r="G78" s="12" t="n"/>
      <c r="H78" s="12" t="n"/>
      <c r="I78" s="11" t="n"/>
      <c r="J78" s="11" t="n"/>
      <c r="K78" s="11">
        <f>IF(I78="","",J78-I78)</f>
        <v/>
      </c>
      <c r="L78">
        <f>IF(G78="","",IF(H78&lt;&gt;"",MAX(0,H78-G78),IF(AND(D78&lt;&gt;"Planned",TODAY()&gt;G78),TODAY()-G78,0)))</f>
        <v/>
      </c>
      <c r="M78">
        <f>IF(B78="","",IF(AND(K78&gt;0.1*I78,L78&gt;0),"Over budget + late",IF(K78&gt;0.1*I78,"Over budget",IF(L78&gt;0,"Late","On track"))))</f>
        <v/>
      </c>
    </row>
    <row r="79">
      <c r="F79" s="12" t="n"/>
      <c r="G79" s="12" t="n"/>
      <c r="H79" s="12" t="n"/>
      <c r="I79" s="11" t="n"/>
      <c r="J79" s="11" t="n"/>
      <c r="K79" s="11">
        <f>IF(I79="","",J79-I79)</f>
        <v/>
      </c>
      <c r="L79">
        <f>IF(G79="","",IF(H79&lt;&gt;"",MAX(0,H79-G79),IF(AND(D79&lt;&gt;"Planned",TODAY()&gt;G79),TODAY()-G79,0)))</f>
        <v/>
      </c>
      <c r="M79">
        <f>IF(B79="","",IF(AND(K79&gt;0.1*I79,L79&gt;0),"Over budget + late",IF(K79&gt;0.1*I79,"Over budget",IF(L79&gt;0,"Late","On track"))))</f>
        <v/>
      </c>
    </row>
    <row r="80">
      <c r="F80" s="12" t="n"/>
      <c r="G80" s="12" t="n"/>
      <c r="H80" s="12" t="n"/>
      <c r="I80" s="11" t="n"/>
      <c r="J80" s="11" t="n"/>
      <c r="K80" s="11">
        <f>IF(I80="","",J80-I80)</f>
        <v/>
      </c>
      <c r="L80">
        <f>IF(G80="","",IF(H80&lt;&gt;"",MAX(0,H80-G80),IF(AND(D80&lt;&gt;"Planned",TODAY()&gt;G80),TODAY()-G80,0)))</f>
        <v/>
      </c>
      <c r="M80">
        <f>IF(B80="","",IF(AND(K80&gt;0.1*I80,L80&gt;0),"Over budget + late",IF(K80&gt;0.1*I80,"Over budget",IF(L80&gt;0,"Late","On track"))))</f>
        <v/>
      </c>
    </row>
    <row r="81">
      <c r="F81" s="12" t="n"/>
      <c r="G81" s="12" t="n"/>
      <c r="H81" s="12" t="n"/>
      <c r="I81" s="11" t="n"/>
      <c r="J81" s="11" t="n"/>
      <c r="K81" s="11">
        <f>IF(I81="","",J81-I81)</f>
        <v/>
      </c>
      <c r="L81">
        <f>IF(G81="","",IF(H81&lt;&gt;"",MAX(0,H81-G81),IF(AND(D81&lt;&gt;"Planned",TODAY()&gt;G81),TODAY()-G81,0)))</f>
        <v/>
      </c>
      <c r="M81">
        <f>IF(B81="","",IF(AND(K81&gt;0.1*I81,L81&gt;0),"Over budget + late",IF(K81&gt;0.1*I81,"Over budget",IF(L81&gt;0,"Late","On track"))))</f>
        <v/>
      </c>
    </row>
    <row r="82">
      <c r="F82" s="12" t="n"/>
      <c r="G82" s="12" t="n"/>
      <c r="H82" s="12" t="n"/>
      <c r="I82" s="11" t="n"/>
      <c r="J82" s="11" t="n"/>
      <c r="K82" s="11">
        <f>IF(I82="","",J82-I82)</f>
        <v/>
      </c>
      <c r="L82">
        <f>IF(G82="","",IF(H82&lt;&gt;"",MAX(0,H82-G82),IF(AND(D82&lt;&gt;"Planned",TODAY()&gt;G82),TODAY()-G82,0)))</f>
        <v/>
      </c>
      <c r="M82">
        <f>IF(B82="","",IF(AND(K82&gt;0.1*I82,L82&gt;0),"Over budget + late",IF(K82&gt;0.1*I82,"Over budget",IF(L82&gt;0,"Late","On track"))))</f>
        <v/>
      </c>
    </row>
    <row r="83">
      <c r="F83" s="12" t="n"/>
      <c r="G83" s="12" t="n"/>
      <c r="H83" s="12" t="n"/>
      <c r="I83" s="11" t="n"/>
      <c r="J83" s="11" t="n"/>
      <c r="K83" s="11">
        <f>IF(I83="","",J83-I83)</f>
        <v/>
      </c>
      <c r="L83">
        <f>IF(G83="","",IF(H83&lt;&gt;"",MAX(0,H83-G83),IF(AND(D83&lt;&gt;"Planned",TODAY()&gt;G83),TODAY()-G83,0)))</f>
        <v/>
      </c>
      <c r="M83">
        <f>IF(B83="","",IF(AND(K83&gt;0.1*I83,L83&gt;0),"Over budget + late",IF(K83&gt;0.1*I83,"Over budget",IF(L83&gt;0,"Late","On track"))))</f>
        <v/>
      </c>
    </row>
    <row r="84">
      <c r="F84" s="12" t="n"/>
      <c r="G84" s="12" t="n"/>
      <c r="H84" s="12" t="n"/>
      <c r="I84" s="11" t="n"/>
      <c r="J84" s="11" t="n"/>
      <c r="K84" s="11">
        <f>IF(I84="","",J84-I84)</f>
        <v/>
      </c>
      <c r="L84">
        <f>IF(G84="","",IF(H84&lt;&gt;"",MAX(0,H84-G84),IF(AND(D84&lt;&gt;"Planned",TODAY()&gt;G84),TODAY()-G84,0)))</f>
        <v/>
      </c>
      <c r="M84">
        <f>IF(B84="","",IF(AND(K84&gt;0.1*I84,L84&gt;0),"Over budget + late",IF(K84&gt;0.1*I84,"Over budget",IF(L84&gt;0,"Late","On track"))))</f>
        <v/>
      </c>
    </row>
    <row r="85">
      <c r="F85" s="12" t="n"/>
      <c r="G85" s="12" t="n"/>
      <c r="H85" s="12" t="n"/>
      <c r="I85" s="11" t="n"/>
      <c r="J85" s="11" t="n"/>
      <c r="K85" s="11">
        <f>IF(I85="","",J85-I85)</f>
        <v/>
      </c>
      <c r="L85">
        <f>IF(G85="","",IF(H85&lt;&gt;"",MAX(0,H85-G85),IF(AND(D85&lt;&gt;"Planned",TODAY()&gt;G85),TODAY()-G85,0)))</f>
        <v/>
      </c>
      <c r="M85">
        <f>IF(B85="","",IF(AND(K85&gt;0.1*I85,L85&gt;0),"Over budget + late",IF(K85&gt;0.1*I85,"Over budget",IF(L85&gt;0,"Late","On track"))))</f>
        <v/>
      </c>
    </row>
    <row r="86">
      <c r="F86" s="12" t="n"/>
      <c r="G86" s="12" t="n"/>
      <c r="H86" s="12" t="n"/>
      <c r="I86" s="11" t="n"/>
      <c r="J86" s="11" t="n"/>
      <c r="K86" s="11">
        <f>IF(I86="","",J86-I86)</f>
        <v/>
      </c>
      <c r="L86">
        <f>IF(G86="","",IF(H86&lt;&gt;"",MAX(0,H86-G86),IF(AND(D86&lt;&gt;"Planned",TODAY()&gt;G86),TODAY()-G86,0)))</f>
        <v/>
      </c>
      <c r="M86">
        <f>IF(B86="","",IF(AND(K86&gt;0.1*I86,L86&gt;0),"Over budget + late",IF(K86&gt;0.1*I86,"Over budget",IF(L86&gt;0,"Late","On track"))))</f>
        <v/>
      </c>
    </row>
    <row r="87">
      <c r="F87" s="12" t="n"/>
      <c r="G87" s="12" t="n"/>
      <c r="H87" s="12" t="n"/>
      <c r="I87" s="11" t="n"/>
      <c r="J87" s="11" t="n"/>
      <c r="K87" s="11">
        <f>IF(I87="","",J87-I87)</f>
        <v/>
      </c>
      <c r="L87">
        <f>IF(G87="","",IF(H87&lt;&gt;"",MAX(0,H87-G87),IF(AND(D87&lt;&gt;"Planned",TODAY()&gt;G87),TODAY()-G87,0)))</f>
        <v/>
      </c>
      <c r="M87">
        <f>IF(B87="","",IF(AND(K87&gt;0.1*I87,L87&gt;0),"Over budget + late",IF(K87&gt;0.1*I87,"Over budget",IF(L87&gt;0,"Late","On track"))))</f>
        <v/>
      </c>
    </row>
    <row r="88">
      <c r="F88" s="12" t="n"/>
      <c r="G88" s="12" t="n"/>
      <c r="H88" s="12" t="n"/>
      <c r="I88" s="11" t="n"/>
      <c r="J88" s="11" t="n"/>
      <c r="K88" s="11">
        <f>IF(I88="","",J88-I88)</f>
        <v/>
      </c>
      <c r="L88">
        <f>IF(G88="","",IF(H88&lt;&gt;"",MAX(0,H88-G88),IF(AND(D88&lt;&gt;"Planned",TODAY()&gt;G88),TODAY()-G88,0)))</f>
        <v/>
      </c>
      <c r="M88">
        <f>IF(B88="","",IF(AND(K88&gt;0.1*I88,L88&gt;0),"Over budget + late",IF(K88&gt;0.1*I88,"Over budget",IF(L88&gt;0,"Late","On track"))))</f>
        <v/>
      </c>
    </row>
    <row r="89">
      <c r="F89" s="12" t="n"/>
      <c r="G89" s="12" t="n"/>
      <c r="H89" s="12" t="n"/>
      <c r="I89" s="11" t="n"/>
      <c r="J89" s="11" t="n"/>
      <c r="K89" s="11">
        <f>IF(I89="","",J89-I89)</f>
        <v/>
      </c>
      <c r="L89">
        <f>IF(G89="","",IF(H89&lt;&gt;"",MAX(0,H89-G89),IF(AND(D89&lt;&gt;"Planned",TODAY()&gt;G89),TODAY()-G89,0)))</f>
        <v/>
      </c>
      <c r="M89">
        <f>IF(B89="","",IF(AND(K89&gt;0.1*I89,L89&gt;0),"Over budget + late",IF(K89&gt;0.1*I89,"Over budget",IF(L89&gt;0,"Late","On track"))))</f>
        <v/>
      </c>
    </row>
    <row r="90">
      <c r="F90" s="12" t="n"/>
      <c r="G90" s="12" t="n"/>
      <c r="H90" s="12" t="n"/>
      <c r="I90" s="11" t="n"/>
      <c r="J90" s="11" t="n"/>
      <c r="K90" s="11">
        <f>IF(I90="","",J90-I90)</f>
        <v/>
      </c>
      <c r="L90">
        <f>IF(G90="","",IF(H90&lt;&gt;"",MAX(0,H90-G90),IF(AND(D90&lt;&gt;"Planned",TODAY()&gt;G90),TODAY()-G90,0)))</f>
        <v/>
      </c>
      <c r="M90">
        <f>IF(B90="","",IF(AND(K90&gt;0.1*I90,L90&gt;0),"Over budget + late",IF(K90&gt;0.1*I90,"Over budget",IF(L90&gt;0,"Late","On track"))))</f>
        <v/>
      </c>
    </row>
    <row r="91">
      <c r="F91" s="12" t="n"/>
      <c r="G91" s="12" t="n"/>
      <c r="H91" s="12" t="n"/>
      <c r="I91" s="11" t="n"/>
      <c r="J91" s="11" t="n"/>
      <c r="K91" s="11">
        <f>IF(I91="","",J91-I91)</f>
        <v/>
      </c>
      <c r="L91">
        <f>IF(G91="","",IF(H91&lt;&gt;"",MAX(0,H91-G91),IF(AND(D91&lt;&gt;"Planned",TODAY()&gt;G91),TODAY()-G91,0)))</f>
        <v/>
      </c>
      <c r="M91">
        <f>IF(B91="","",IF(AND(K91&gt;0.1*I91,L91&gt;0),"Over budget + late",IF(K91&gt;0.1*I91,"Over budget",IF(L91&gt;0,"Late","On track"))))</f>
        <v/>
      </c>
    </row>
    <row r="92">
      <c r="F92" s="12" t="n"/>
      <c r="G92" s="12" t="n"/>
      <c r="H92" s="12" t="n"/>
      <c r="I92" s="11" t="n"/>
      <c r="J92" s="11" t="n"/>
      <c r="K92" s="11">
        <f>IF(I92="","",J92-I92)</f>
        <v/>
      </c>
      <c r="L92">
        <f>IF(G92="","",IF(H92&lt;&gt;"",MAX(0,H92-G92),IF(AND(D92&lt;&gt;"Planned",TODAY()&gt;G92),TODAY()-G92,0)))</f>
        <v/>
      </c>
      <c r="M92">
        <f>IF(B92="","",IF(AND(K92&gt;0.1*I92,L92&gt;0),"Over budget + late",IF(K92&gt;0.1*I92,"Over budget",IF(L92&gt;0,"Late","On track"))))</f>
        <v/>
      </c>
    </row>
    <row r="93">
      <c r="F93" s="12" t="n"/>
      <c r="G93" s="12" t="n"/>
      <c r="H93" s="12" t="n"/>
      <c r="I93" s="11" t="n"/>
      <c r="J93" s="11" t="n"/>
      <c r="K93" s="11">
        <f>IF(I93="","",J93-I93)</f>
        <v/>
      </c>
      <c r="L93">
        <f>IF(G93="","",IF(H93&lt;&gt;"",MAX(0,H93-G93),IF(AND(D93&lt;&gt;"Planned",TODAY()&gt;G93),TODAY()-G93,0)))</f>
        <v/>
      </c>
      <c r="M93">
        <f>IF(B93="","",IF(AND(K93&gt;0.1*I93,L93&gt;0),"Over budget + late",IF(K93&gt;0.1*I93,"Over budget",IF(L93&gt;0,"Late","On track"))))</f>
        <v/>
      </c>
    </row>
    <row r="94">
      <c r="F94" s="12" t="n"/>
      <c r="G94" s="12" t="n"/>
      <c r="H94" s="12" t="n"/>
      <c r="I94" s="11" t="n"/>
      <c r="J94" s="11" t="n"/>
      <c r="K94" s="11">
        <f>IF(I94="","",J94-I94)</f>
        <v/>
      </c>
      <c r="L94">
        <f>IF(G94="","",IF(H94&lt;&gt;"",MAX(0,H94-G94),IF(AND(D94&lt;&gt;"Planned",TODAY()&gt;G94),TODAY()-G94,0)))</f>
        <v/>
      </c>
      <c r="M94">
        <f>IF(B94="","",IF(AND(K94&gt;0.1*I94,L94&gt;0),"Over budget + late",IF(K94&gt;0.1*I94,"Over budget",IF(L94&gt;0,"Late","On track"))))</f>
        <v/>
      </c>
    </row>
    <row r="95">
      <c r="F95" s="12" t="n"/>
      <c r="G95" s="12" t="n"/>
      <c r="H95" s="12" t="n"/>
      <c r="I95" s="11" t="n"/>
      <c r="J95" s="11" t="n"/>
      <c r="K95" s="11">
        <f>IF(I95="","",J95-I95)</f>
        <v/>
      </c>
      <c r="L95">
        <f>IF(G95="","",IF(H95&lt;&gt;"",MAX(0,H95-G95),IF(AND(D95&lt;&gt;"Planned",TODAY()&gt;G95),TODAY()-G95,0)))</f>
        <v/>
      </c>
      <c r="M95">
        <f>IF(B95="","",IF(AND(K95&gt;0.1*I95,L95&gt;0),"Over budget + late",IF(K95&gt;0.1*I95,"Over budget",IF(L95&gt;0,"Late","On track"))))</f>
        <v/>
      </c>
    </row>
    <row r="96">
      <c r="F96" s="12" t="n"/>
      <c r="G96" s="12" t="n"/>
      <c r="H96" s="12" t="n"/>
      <c r="I96" s="11" t="n"/>
      <c r="J96" s="11" t="n"/>
      <c r="K96" s="11">
        <f>IF(I96="","",J96-I96)</f>
        <v/>
      </c>
      <c r="L96">
        <f>IF(G96="","",IF(H96&lt;&gt;"",MAX(0,H96-G96),IF(AND(D96&lt;&gt;"Planned",TODAY()&gt;G96),TODAY()-G96,0)))</f>
        <v/>
      </c>
      <c r="M96">
        <f>IF(B96="","",IF(AND(K96&gt;0.1*I96,L96&gt;0),"Over budget + late",IF(K96&gt;0.1*I96,"Over budget",IF(L96&gt;0,"Late","On track"))))</f>
        <v/>
      </c>
    </row>
    <row r="97">
      <c r="F97" s="12" t="n"/>
      <c r="G97" s="12" t="n"/>
      <c r="H97" s="12" t="n"/>
      <c r="I97" s="11" t="n"/>
      <c r="J97" s="11" t="n"/>
      <c r="K97" s="11">
        <f>IF(I97="","",J97-I97)</f>
        <v/>
      </c>
      <c r="L97">
        <f>IF(G97="","",IF(H97&lt;&gt;"",MAX(0,H97-G97),IF(AND(D97&lt;&gt;"Planned",TODAY()&gt;G97),TODAY()-G97,0)))</f>
        <v/>
      </c>
      <c r="M97">
        <f>IF(B97="","",IF(AND(K97&gt;0.1*I97,L97&gt;0),"Over budget + late",IF(K97&gt;0.1*I97,"Over budget",IF(L97&gt;0,"Late","On track"))))</f>
        <v/>
      </c>
    </row>
    <row r="98">
      <c r="F98" s="12" t="n"/>
      <c r="G98" s="12" t="n"/>
      <c r="H98" s="12" t="n"/>
      <c r="I98" s="11" t="n"/>
      <c r="J98" s="11" t="n"/>
      <c r="K98" s="11">
        <f>IF(I98="","",J98-I98)</f>
        <v/>
      </c>
      <c r="L98">
        <f>IF(G98="","",IF(H98&lt;&gt;"",MAX(0,H98-G98),IF(AND(D98&lt;&gt;"Planned",TODAY()&gt;G98),TODAY()-G98,0)))</f>
        <v/>
      </c>
      <c r="M98">
        <f>IF(B98="","",IF(AND(K98&gt;0.1*I98,L98&gt;0),"Over budget + late",IF(K98&gt;0.1*I98,"Over budget",IF(L98&gt;0,"Late","On track"))))</f>
        <v/>
      </c>
    </row>
    <row r="99">
      <c r="F99" s="12" t="n"/>
      <c r="G99" s="12" t="n"/>
      <c r="H99" s="12" t="n"/>
      <c r="I99" s="11" t="n"/>
      <c r="J99" s="11" t="n"/>
      <c r="K99" s="11">
        <f>IF(I99="","",J99-I99)</f>
        <v/>
      </c>
      <c r="L99">
        <f>IF(G99="","",IF(H99&lt;&gt;"",MAX(0,H99-G99),IF(AND(D99&lt;&gt;"Planned",TODAY()&gt;G99),TODAY()-G99,0)))</f>
        <v/>
      </c>
      <c r="M99">
        <f>IF(B99="","",IF(AND(K99&gt;0.1*I99,L99&gt;0),"Over budget + late",IF(K99&gt;0.1*I99,"Over budget",IF(L99&gt;0,"Late","On track"))))</f>
        <v/>
      </c>
    </row>
    <row r="100">
      <c r="F100" s="12" t="n"/>
      <c r="G100" s="12" t="n"/>
      <c r="H100" s="12" t="n"/>
      <c r="I100" s="11" t="n"/>
      <c r="J100" s="11" t="n"/>
      <c r="K100" s="11">
        <f>IF(I100="","",J100-I100)</f>
        <v/>
      </c>
      <c r="L100">
        <f>IF(G100="","",IF(H100&lt;&gt;"",MAX(0,H100-G100),IF(AND(D100&lt;&gt;"Planned",TODAY()&gt;G100),TODAY()-G100,0)))</f>
        <v/>
      </c>
      <c r="M100">
        <f>IF(B100="","",IF(AND(K100&gt;0.1*I100,L100&gt;0),"Over budget + late",IF(K100&gt;0.1*I100,"Over budget",IF(L100&gt;0,"Late","On track"))))</f>
        <v/>
      </c>
    </row>
    <row r="101">
      <c r="F101" s="12" t="n"/>
      <c r="G101" s="12" t="n"/>
      <c r="H101" s="12" t="n"/>
      <c r="I101" s="11" t="n"/>
      <c r="J101" s="11" t="n"/>
      <c r="K101" s="11">
        <f>IF(I101="","",J101-I101)</f>
        <v/>
      </c>
      <c r="L101">
        <f>IF(G101="","",IF(H101&lt;&gt;"",MAX(0,H101-G101),IF(AND(D101&lt;&gt;"Planned",TODAY()&gt;G101),TODAY()-G101,0)))</f>
        <v/>
      </c>
      <c r="M101">
        <f>IF(B101="","",IF(AND(K101&gt;0.1*I101,L101&gt;0),"Over budget + late",IF(K101&gt;0.1*I101,"Over budget",IF(L101&gt;0,"Late","On track"))))</f>
        <v/>
      </c>
    </row>
    <row r="102">
      <c r="F102" s="12" t="n"/>
      <c r="G102" s="12" t="n"/>
      <c r="H102" s="12" t="n"/>
      <c r="I102" s="11" t="n"/>
      <c r="J102" s="11" t="n"/>
      <c r="K102" s="11">
        <f>IF(I102="","",J102-I102)</f>
        <v/>
      </c>
      <c r="L102">
        <f>IF(G102="","",IF(H102&lt;&gt;"",MAX(0,H102-G102),IF(AND(D102&lt;&gt;"Planned",TODAY()&gt;G102),TODAY()-G102,0)))</f>
        <v/>
      </c>
      <c r="M102">
        <f>IF(B102="","",IF(AND(K102&gt;0.1*I102,L102&gt;0),"Over budget + late",IF(K102&gt;0.1*I102,"Over budget",IF(L102&gt;0,"Late","On track"))))</f>
        <v/>
      </c>
    </row>
    <row r="103">
      <c r="F103" s="12" t="n"/>
      <c r="G103" s="12" t="n"/>
      <c r="H103" s="12" t="n"/>
      <c r="I103" s="11" t="n"/>
      <c r="J103" s="11" t="n"/>
      <c r="K103" s="11">
        <f>IF(I103="","",J103-I103)</f>
        <v/>
      </c>
      <c r="L103">
        <f>IF(G103="","",IF(H103&lt;&gt;"",MAX(0,H103-G103),IF(AND(D103&lt;&gt;"Planned",TODAY()&gt;G103),TODAY()-G103,0)))</f>
        <v/>
      </c>
      <c r="M103">
        <f>IF(B103="","",IF(AND(K103&gt;0.1*I103,L103&gt;0),"Over budget + late",IF(K103&gt;0.1*I103,"Over budget",IF(L103&gt;0,"Late","On track"))))</f>
        <v/>
      </c>
    </row>
    <row r="104">
      <c r="F104" s="12" t="n"/>
      <c r="G104" s="12" t="n"/>
      <c r="H104" s="12" t="n"/>
      <c r="I104" s="11" t="n"/>
      <c r="J104" s="11" t="n"/>
      <c r="K104" s="11">
        <f>IF(I104="","",J104-I104)</f>
        <v/>
      </c>
      <c r="L104">
        <f>IF(G104="","",IF(H104&lt;&gt;"",MAX(0,H104-G104),IF(AND(D104&lt;&gt;"Planned",TODAY()&gt;G104),TODAY()-G104,0)))</f>
        <v/>
      </c>
      <c r="M104">
        <f>IF(B104="","",IF(AND(K104&gt;0.1*I104,L104&gt;0),"Over budget + late",IF(K104&gt;0.1*I104,"Over budget",IF(L104&gt;0,"Late","On track"))))</f>
        <v/>
      </c>
    </row>
    <row r="105">
      <c r="F105" s="12" t="n"/>
      <c r="G105" s="12" t="n"/>
      <c r="H105" s="12" t="n"/>
      <c r="I105" s="11" t="n"/>
      <c r="J105" s="11" t="n"/>
      <c r="K105" s="11">
        <f>IF(I105="","",J105-I105)</f>
        <v/>
      </c>
      <c r="L105">
        <f>IF(G105="","",IF(H105&lt;&gt;"",MAX(0,H105-G105),IF(AND(D105&lt;&gt;"Planned",TODAY()&gt;G105),TODAY()-G105,0)))</f>
        <v/>
      </c>
      <c r="M105">
        <f>IF(B105="","",IF(AND(K105&gt;0.1*I105,L105&gt;0),"Over budget + late",IF(K105&gt;0.1*I105,"Over budget",IF(L105&gt;0,"Late","On track"))))</f>
        <v/>
      </c>
    </row>
    <row r="106">
      <c r="F106" s="12" t="n"/>
      <c r="G106" s="12" t="n"/>
      <c r="H106" s="12" t="n"/>
      <c r="I106" s="11" t="n"/>
      <c r="J106" s="11" t="n"/>
      <c r="K106" s="11">
        <f>IF(I106="","",J106-I106)</f>
        <v/>
      </c>
      <c r="L106">
        <f>IF(G106="","",IF(H106&lt;&gt;"",MAX(0,H106-G106),IF(AND(D106&lt;&gt;"Planned",TODAY()&gt;G106),TODAY()-G106,0)))</f>
        <v/>
      </c>
      <c r="M106">
        <f>IF(B106="","",IF(AND(K106&gt;0.1*I106,L106&gt;0),"Over budget + late",IF(K106&gt;0.1*I106,"Over budget",IF(L106&gt;0,"Late","On track"))))</f>
        <v/>
      </c>
    </row>
    <row r="107">
      <c r="F107" s="12" t="n"/>
      <c r="G107" s="12" t="n"/>
      <c r="H107" s="12" t="n"/>
      <c r="I107" s="11" t="n"/>
      <c r="J107" s="11" t="n"/>
      <c r="K107" s="11">
        <f>IF(I107="","",J107-I107)</f>
        <v/>
      </c>
      <c r="L107">
        <f>IF(G107="","",IF(H107&lt;&gt;"",MAX(0,H107-G107),IF(AND(D107&lt;&gt;"Planned",TODAY()&gt;G107),TODAY()-G107,0)))</f>
        <v/>
      </c>
      <c r="M107">
        <f>IF(B107="","",IF(AND(K107&gt;0.1*I107,L107&gt;0),"Over budget + late",IF(K107&gt;0.1*I107,"Over budget",IF(L107&gt;0,"Late","On track"))))</f>
        <v/>
      </c>
    </row>
    <row r="108">
      <c r="F108" s="12" t="n"/>
      <c r="G108" s="12" t="n"/>
      <c r="H108" s="12" t="n"/>
      <c r="I108" s="11" t="n"/>
      <c r="J108" s="11" t="n"/>
      <c r="K108" s="11">
        <f>IF(I108="","",J108-I108)</f>
        <v/>
      </c>
      <c r="L108">
        <f>IF(G108="","",IF(H108&lt;&gt;"",MAX(0,H108-G108),IF(AND(D108&lt;&gt;"Planned",TODAY()&gt;G108),TODAY()-G108,0)))</f>
        <v/>
      </c>
      <c r="M108">
        <f>IF(B108="","",IF(AND(K108&gt;0.1*I108,L108&gt;0),"Over budget + late",IF(K108&gt;0.1*I108,"Over budget",IF(L108&gt;0,"Late","On track"))))</f>
        <v/>
      </c>
    </row>
    <row r="109">
      <c r="F109" s="12" t="n"/>
      <c r="G109" s="12" t="n"/>
      <c r="H109" s="12" t="n"/>
      <c r="I109" s="11" t="n"/>
      <c r="J109" s="11" t="n"/>
      <c r="K109" s="11">
        <f>IF(I109="","",J109-I109)</f>
        <v/>
      </c>
      <c r="L109">
        <f>IF(G109="","",IF(H109&lt;&gt;"",MAX(0,H109-G109),IF(AND(D109&lt;&gt;"Planned",TODAY()&gt;G109),TODAY()-G109,0)))</f>
        <v/>
      </c>
      <c r="M109">
        <f>IF(B109="","",IF(AND(K109&gt;0.1*I109,L109&gt;0),"Over budget + late",IF(K109&gt;0.1*I109,"Over budget",IF(L109&gt;0,"Late","On track"))))</f>
        <v/>
      </c>
    </row>
    <row r="110">
      <c r="F110" s="12" t="n"/>
      <c r="G110" s="12" t="n"/>
      <c r="H110" s="12" t="n"/>
      <c r="I110" s="11" t="n"/>
      <c r="J110" s="11" t="n"/>
      <c r="K110" s="11">
        <f>IF(I110="","",J110-I110)</f>
        <v/>
      </c>
      <c r="L110">
        <f>IF(G110="","",IF(H110&lt;&gt;"",MAX(0,H110-G110),IF(AND(D110&lt;&gt;"Planned",TODAY()&gt;G110),TODAY()-G110,0)))</f>
        <v/>
      </c>
      <c r="M110">
        <f>IF(B110="","",IF(AND(K110&gt;0.1*I110,L110&gt;0),"Over budget + late",IF(K110&gt;0.1*I110,"Over budget",IF(L110&gt;0,"Late","On track"))))</f>
        <v/>
      </c>
    </row>
    <row r="111">
      <c r="F111" s="12" t="n"/>
      <c r="G111" s="12" t="n"/>
      <c r="H111" s="12" t="n"/>
      <c r="I111" s="11" t="n"/>
      <c r="J111" s="11" t="n"/>
      <c r="K111" s="11">
        <f>IF(I111="","",J111-I111)</f>
        <v/>
      </c>
      <c r="L111">
        <f>IF(G111="","",IF(H111&lt;&gt;"",MAX(0,H111-G111),IF(AND(D111&lt;&gt;"Planned",TODAY()&gt;G111),TODAY()-G111,0)))</f>
        <v/>
      </c>
      <c r="M111">
        <f>IF(B111="","",IF(AND(K111&gt;0.1*I111,L111&gt;0),"Over budget + late",IF(K111&gt;0.1*I111,"Over budget",IF(L111&gt;0,"Late","On track"))))</f>
        <v/>
      </c>
    </row>
    <row r="112">
      <c r="F112" s="12" t="n"/>
      <c r="G112" s="12" t="n"/>
      <c r="H112" s="12" t="n"/>
      <c r="I112" s="11" t="n"/>
      <c r="J112" s="11" t="n"/>
      <c r="K112" s="11">
        <f>IF(I112="","",J112-I112)</f>
        <v/>
      </c>
      <c r="L112">
        <f>IF(G112="","",IF(H112&lt;&gt;"",MAX(0,H112-G112),IF(AND(D112&lt;&gt;"Planned",TODAY()&gt;G112),TODAY()-G112,0)))</f>
        <v/>
      </c>
      <c r="M112">
        <f>IF(B112="","",IF(AND(K112&gt;0.1*I112,L112&gt;0),"Over budget + late",IF(K112&gt;0.1*I112,"Over budget",IF(L112&gt;0,"Late","On track"))))</f>
        <v/>
      </c>
    </row>
    <row r="113">
      <c r="F113" s="12" t="n"/>
      <c r="G113" s="12" t="n"/>
      <c r="H113" s="12" t="n"/>
      <c r="I113" s="11" t="n"/>
      <c r="J113" s="11" t="n"/>
      <c r="K113" s="11">
        <f>IF(I113="","",J113-I113)</f>
        <v/>
      </c>
      <c r="L113">
        <f>IF(G113="","",IF(H113&lt;&gt;"",MAX(0,H113-G113),IF(AND(D113&lt;&gt;"Planned",TODAY()&gt;G113),TODAY()-G113,0)))</f>
        <v/>
      </c>
      <c r="M113">
        <f>IF(B113="","",IF(AND(K113&gt;0.1*I113,L113&gt;0),"Over budget + late",IF(K113&gt;0.1*I113,"Over budget",IF(L113&gt;0,"Late","On track"))))</f>
        <v/>
      </c>
    </row>
    <row r="114">
      <c r="F114" s="12" t="n"/>
      <c r="G114" s="12" t="n"/>
      <c r="H114" s="12" t="n"/>
      <c r="I114" s="11" t="n"/>
      <c r="J114" s="11" t="n"/>
      <c r="K114" s="11">
        <f>IF(I114="","",J114-I114)</f>
        <v/>
      </c>
      <c r="L114">
        <f>IF(G114="","",IF(H114&lt;&gt;"",MAX(0,H114-G114),IF(AND(D114&lt;&gt;"Planned",TODAY()&gt;G114),TODAY()-G114,0)))</f>
        <v/>
      </c>
      <c r="M114">
        <f>IF(B114="","",IF(AND(K114&gt;0.1*I114,L114&gt;0),"Over budget + late",IF(K114&gt;0.1*I114,"Over budget",IF(L114&gt;0,"Late","On track"))))</f>
        <v/>
      </c>
    </row>
    <row r="115">
      <c r="F115" s="12" t="n"/>
      <c r="G115" s="12" t="n"/>
      <c r="H115" s="12" t="n"/>
      <c r="I115" s="11" t="n"/>
      <c r="J115" s="11" t="n"/>
      <c r="K115" s="11">
        <f>IF(I115="","",J115-I115)</f>
        <v/>
      </c>
      <c r="L115">
        <f>IF(G115="","",IF(H115&lt;&gt;"",MAX(0,H115-G115),IF(AND(D115&lt;&gt;"Planned",TODAY()&gt;G115),TODAY()-G115,0)))</f>
        <v/>
      </c>
      <c r="M115">
        <f>IF(B115="","",IF(AND(K115&gt;0.1*I115,L115&gt;0),"Over budget + late",IF(K115&gt;0.1*I115,"Over budget",IF(L115&gt;0,"Late","On track"))))</f>
        <v/>
      </c>
    </row>
    <row r="116">
      <c r="F116" s="12" t="n"/>
      <c r="G116" s="12" t="n"/>
      <c r="H116" s="12" t="n"/>
      <c r="I116" s="11" t="n"/>
      <c r="J116" s="11" t="n"/>
      <c r="K116" s="11">
        <f>IF(I116="","",J116-I116)</f>
        <v/>
      </c>
      <c r="L116">
        <f>IF(G116="","",IF(H116&lt;&gt;"",MAX(0,H116-G116),IF(AND(D116&lt;&gt;"Planned",TODAY()&gt;G116),TODAY()-G116,0)))</f>
        <v/>
      </c>
      <c r="M116">
        <f>IF(B116="","",IF(AND(K116&gt;0.1*I116,L116&gt;0),"Over budget + late",IF(K116&gt;0.1*I116,"Over budget",IF(L116&gt;0,"Late","On track"))))</f>
        <v/>
      </c>
    </row>
    <row r="117">
      <c r="F117" s="12" t="n"/>
      <c r="G117" s="12" t="n"/>
      <c r="H117" s="12" t="n"/>
      <c r="I117" s="11" t="n"/>
      <c r="J117" s="11" t="n"/>
      <c r="K117" s="11">
        <f>IF(I117="","",J117-I117)</f>
        <v/>
      </c>
      <c r="L117">
        <f>IF(G117="","",IF(H117&lt;&gt;"",MAX(0,H117-G117),IF(AND(D117&lt;&gt;"Planned",TODAY()&gt;G117),TODAY()-G117,0)))</f>
        <v/>
      </c>
      <c r="M117">
        <f>IF(B117="","",IF(AND(K117&gt;0.1*I117,L117&gt;0),"Over budget + late",IF(K117&gt;0.1*I117,"Over budget",IF(L117&gt;0,"Late","On track"))))</f>
        <v/>
      </c>
    </row>
    <row r="118">
      <c r="F118" s="12" t="n"/>
      <c r="G118" s="12" t="n"/>
      <c r="H118" s="12" t="n"/>
      <c r="I118" s="11" t="n"/>
      <c r="J118" s="11" t="n"/>
      <c r="K118" s="11">
        <f>IF(I118="","",J118-I118)</f>
        <v/>
      </c>
      <c r="L118">
        <f>IF(G118="","",IF(H118&lt;&gt;"",MAX(0,H118-G118),IF(AND(D118&lt;&gt;"Planned",TODAY()&gt;G118),TODAY()-G118,0)))</f>
        <v/>
      </c>
      <c r="M118">
        <f>IF(B118="","",IF(AND(K118&gt;0.1*I118,L118&gt;0),"Over budget + late",IF(K118&gt;0.1*I118,"Over budget",IF(L118&gt;0,"Late","On track"))))</f>
        <v/>
      </c>
    </row>
    <row r="119">
      <c r="F119" s="12" t="n"/>
      <c r="G119" s="12" t="n"/>
      <c r="H119" s="12" t="n"/>
      <c r="I119" s="11" t="n"/>
      <c r="J119" s="11" t="n"/>
      <c r="K119" s="11">
        <f>IF(I119="","",J119-I119)</f>
        <v/>
      </c>
      <c r="L119">
        <f>IF(G119="","",IF(H119&lt;&gt;"",MAX(0,H119-G119),IF(AND(D119&lt;&gt;"Planned",TODAY()&gt;G119),TODAY()-G119,0)))</f>
        <v/>
      </c>
      <c r="M119">
        <f>IF(B119="","",IF(AND(K119&gt;0.1*I119,L119&gt;0),"Over budget + late",IF(K119&gt;0.1*I119,"Over budget",IF(L119&gt;0,"Late","On track"))))</f>
        <v/>
      </c>
    </row>
    <row r="120">
      <c r="F120" s="12" t="n"/>
      <c r="G120" s="12" t="n"/>
      <c r="H120" s="12" t="n"/>
      <c r="I120" s="11" t="n"/>
      <c r="J120" s="11" t="n"/>
      <c r="K120" s="11">
        <f>IF(I120="","",J120-I120)</f>
        <v/>
      </c>
      <c r="L120">
        <f>IF(G120="","",IF(H120&lt;&gt;"",MAX(0,H120-G120),IF(AND(D120&lt;&gt;"Planned",TODAY()&gt;G120),TODAY()-G120,0)))</f>
        <v/>
      </c>
      <c r="M120">
        <f>IF(B120="","",IF(AND(K120&gt;0.1*I120,L120&gt;0),"Over budget + late",IF(K120&gt;0.1*I120,"Over budget",IF(L120&gt;0,"Late","On track"))))</f>
        <v/>
      </c>
    </row>
    <row r="121">
      <c r="F121" s="12" t="n"/>
      <c r="G121" s="12" t="n"/>
      <c r="H121" s="12" t="n"/>
      <c r="I121" s="11" t="n"/>
      <c r="J121" s="11" t="n"/>
      <c r="K121" s="11">
        <f>IF(I121="","",J121-I121)</f>
        <v/>
      </c>
      <c r="L121">
        <f>IF(G121="","",IF(H121&lt;&gt;"",MAX(0,H121-G121),IF(AND(D121&lt;&gt;"Planned",TODAY()&gt;G121),TODAY()-G121,0)))</f>
        <v/>
      </c>
      <c r="M121">
        <f>IF(B121="","",IF(AND(K121&gt;0.1*I121,L121&gt;0),"Over budget + late",IF(K121&gt;0.1*I121,"Over budget",IF(L121&gt;0,"Late","On track"))))</f>
        <v/>
      </c>
    </row>
    <row r="122">
      <c r="F122" s="12" t="n"/>
      <c r="G122" s="12" t="n"/>
      <c r="H122" s="12" t="n"/>
      <c r="I122" s="11" t="n"/>
      <c r="J122" s="11" t="n"/>
      <c r="K122" s="11">
        <f>IF(I122="","",J122-I122)</f>
        <v/>
      </c>
      <c r="L122">
        <f>IF(G122="","",IF(H122&lt;&gt;"",MAX(0,H122-G122),IF(AND(D122&lt;&gt;"Planned",TODAY()&gt;G122),TODAY()-G122,0)))</f>
        <v/>
      </c>
      <c r="M122">
        <f>IF(B122="","",IF(AND(K122&gt;0.1*I122,L122&gt;0),"Over budget + late",IF(K122&gt;0.1*I122,"Over budget",IF(L122&gt;0,"Late","On track"))))</f>
        <v/>
      </c>
    </row>
    <row r="123">
      <c r="F123" s="12" t="n"/>
      <c r="G123" s="12" t="n"/>
      <c r="H123" s="12" t="n"/>
      <c r="I123" s="11" t="n"/>
      <c r="J123" s="11" t="n"/>
      <c r="K123" s="11">
        <f>IF(I123="","",J123-I123)</f>
        <v/>
      </c>
      <c r="L123">
        <f>IF(G123="","",IF(H123&lt;&gt;"",MAX(0,H123-G123),IF(AND(D123&lt;&gt;"Planned",TODAY()&gt;G123),TODAY()-G123,0)))</f>
        <v/>
      </c>
      <c r="M123">
        <f>IF(B123="","",IF(AND(K123&gt;0.1*I123,L123&gt;0),"Over budget + late",IF(K123&gt;0.1*I123,"Over budget",IF(L123&gt;0,"Late","On track"))))</f>
        <v/>
      </c>
    </row>
    <row r="124">
      <c r="F124" s="12" t="n"/>
      <c r="G124" s="12" t="n"/>
      <c r="H124" s="12" t="n"/>
      <c r="I124" s="11" t="n"/>
      <c r="J124" s="11" t="n"/>
      <c r="K124" s="11">
        <f>IF(I124="","",J124-I124)</f>
        <v/>
      </c>
      <c r="L124">
        <f>IF(G124="","",IF(H124&lt;&gt;"",MAX(0,H124-G124),IF(AND(D124&lt;&gt;"Planned",TODAY()&gt;G124),TODAY()-G124,0)))</f>
        <v/>
      </c>
      <c r="M124">
        <f>IF(B124="","",IF(AND(K124&gt;0.1*I124,L124&gt;0),"Over budget + late",IF(K124&gt;0.1*I124,"Over budget",IF(L124&gt;0,"Late","On track"))))</f>
        <v/>
      </c>
    </row>
    <row r="125">
      <c r="F125" s="12" t="n"/>
      <c r="G125" s="12" t="n"/>
      <c r="H125" s="12" t="n"/>
      <c r="I125" s="11" t="n"/>
      <c r="J125" s="11" t="n"/>
      <c r="K125" s="11">
        <f>IF(I125="","",J125-I125)</f>
        <v/>
      </c>
      <c r="L125">
        <f>IF(G125="","",IF(H125&lt;&gt;"",MAX(0,H125-G125),IF(AND(D125&lt;&gt;"Planned",TODAY()&gt;G125),TODAY()-G125,0)))</f>
        <v/>
      </c>
      <c r="M125">
        <f>IF(B125="","",IF(AND(K125&gt;0.1*I125,L125&gt;0),"Over budget + late",IF(K125&gt;0.1*I125,"Over budget",IF(L125&gt;0,"Late","On track"))))</f>
        <v/>
      </c>
    </row>
    <row r="126">
      <c r="F126" s="12" t="n"/>
      <c r="G126" s="12" t="n"/>
      <c r="H126" s="12" t="n"/>
      <c r="I126" s="11" t="n"/>
      <c r="J126" s="11" t="n"/>
      <c r="K126" s="11">
        <f>IF(I126="","",J126-I126)</f>
        <v/>
      </c>
      <c r="L126">
        <f>IF(G126="","",IF(H126&lt;&gt;"",MAX(0,H126-G126),IF(AND(D126&lt;&gt;"Planned",TODAY()&gt;G126),TODAY()-G126,0)))</f>
        <v/>
      </c>
      <c r="M126">
        <f>IF(B126="","",IF(AND(K126&gt;0.1*I126,L126&gt;0),"Over budget + late",IF(K126&gt;0.1*I126,"Over budget",IF(L126&gt;0,"Late","On track"))))</f>
        <v/>
      </c>
    </row>
    <row r="127">
      <c r="F127" s="12" t="n"/>
      <c r="G127" s="12" t="n"/>
      <c r="H127" s="12" t="n"/>
      <c r="I127" s="11" t="n"/>
      <c r="J127" s="11" t="n"/>
      <c r="K127" s="11">
        <f>IF(I127="","",J127-I127)</f>
        <v/>
      </c>
      <c r="L127">
        <f>IF(G127="","",IF(H127&lt;&gt;"",MAX(0,H127-G127),IF(AND(D127&lt;&gt;"Planned",TODAY()&gt;G127),TODAY()-G127,0)))</f>
        <v/>
      </c>
      <c r="M127">
        <f>IF(B127="","",IF(AND(K127&gt;0.1*I127,L127&gt;0),"Over budget + late",IF(K127&gt;0.1*I127,"Over budget",IF(L127&gt;0,"Late","On track"))))</f>
        <v/>
      </c>
    </row>
    <row r="128">
      <c r="F128" s="12" t="n"/>
      <c r="G128" s="12" t="n"/>
      <c r="H128" s="12" t="n"/>
      <c r="I128" s="11" t="n"/>
      <c r="J128" s="11" t="n"/>
      <c r="K128" s="11">
        <f>IF(I128="","",J128-I128)</f>
        <v/>
      </c>
      <c r="L128">
        <f>IF(G128="","",IF(H128&lt;&gt;"",MAX(0,H128-G128),IF(AND(D128&lt;&gt;"Planned",TODAY()&gt;G128),TODAY()-G128,0)))</f>
        <v/>
      </c>
      <c r="M128">
        <f>IF(B128="","",IF(AND(K128&gt;0.1*I128,L128&gt;0),"Over budget + late",IF(K128&gt;0.1*I128,"Over budget",IF(L128&gt;0,"Late","On track"))))</f>
        <v/>
      </c>
    </row>
    <row r="129">
      <c r="F129" s="12" t="n"/>
      <c r="G129" s="12" t="n"/>
      <c r="H129" s="12" t="n"/>
      <c r="I129" s="11" t="n"/>
      <c r="J129" s="11" t="n"/>
      <c r="K129" s="11">
        <f>IF(I129="","",J129-I129)</f>
        <v/>
      </c>
      <c r="L129">
        <f>IF(G129="","",IF(H129&lt;&gt;"",MAX(0,H129-G129),IF(AND(D129&lt;&gt;"Planned",TODAY()&gt;G129),TODAY()-G129,0)))</f>
        <v/>
      </c>
      <c r="M129">
        <f>IF(B129="","",IF(AND(K129&gt;0.1*I129,L129&gt;0),"Over budget + late",IF(K129&gt;0.1*I129,"Over budget",IF(L129&gt;0,"Late","On track"))))</f>
        <v/>
      </c>
    </row>
    <row r="130">
      <c r="F130" s="12" t="n"/>
      <c r="G130" s="12" t="n"/>
      <c r="H130" s="12" t="n"/>
      <c r="I130" s="11" t="n"/>
      <c r="J130" s="11" t="n"/>
      <c r="K130" s="11">
        <f>IF(I130="","",J130-I130)</f>
        <v/>
      </c>
      <c r="L130">
        <f>IF(G130="","",IF(H130&lt;&gt;"",MAX(0,H130-G130),IF(AND(D130&lt;&gt;"Planned",TODAY()&gt;G130),TODAY()-G130,0)))</f>
        <v/>
      </c>
      <c r="M130">
        <f>IF(B130="","",IF(AND(K130&gt;0.1*I130,L130&gt;0),"Over budget + late",IF(K130&gt;0.1*I130,"Over budget",IF(L130&gt;0,"Late","On track"))))</f>
        <v/>
      </c>
    </row>
    <row r="131">
      <c r="F131" s="12" t="n"/>
      <c r="G131" s="12" t="n"/>
      <c r="H131" s="12" t="n"/>
      <c r="I131" s="11" t="n"/>
      <c r="J131" s="11" t="n"/>
      <c r="K131" s="11">
        <f>IF(I131="","",J131-I131)</f>
        <v/>
      </c>
      <c r="L131">
        <f>IF(G131="","",IF(H131&lt;&gt;"",MAX(0,H131-G131),IF(AND(D131&lt;&gt;"Planned",TODAY()&gt;G131),TODAY()-G131,0)))</f>
        <v/>
      </c>
      <c r="M131">
        <f>IF(B131="","",IF(AND(K131&gt;0.1*I131,L131&gt;0),"Over budget + late",IF(K131&gt;0.1*I131,"Over budget",IF(L131&gt;0,"Late","On track"))))</f>
        <v/>
      </c>
    </row>
    <row r="132">
      <c r="F132" s="12" t="n"/>
      <c r="G132" s="12" t="n"/>
      <c r="H132" s="12" t="n"/>
      <c r="I132" s="11" t="n"/>
      <c r="J132" s="11" t="n"/>
      <c r="K132" s="11">
        <f>IF(I132="","",J132-I132)</f>
        <v/>
      </c>
      <c r="L132">
        <f>IF(G132="","",IF(H132&lt;&gt;"",MAX(0,H132-G132),IF(AND(D132&lt;&gt;"Planned",TODAY()&gt;G132),TODAY()-G132,0)))</f>
        <v/>
      </c>
      <c r="M132">
        <f>IF(B132="","",IF(AND(K132&gt;0.1*I132,L132&gt;0),"Over budget + late",IF(K132&gt;0.1*I132,"Over budget",IF(L132&gt;0,"Late","On track"))))</f>
        <v/>
      </c>
    </row>
    <row r="133">
      <c r="F133" s="12" t="n"/>
      <c r="G133" s="12" t="n"/>
      <c r="H133" s="12" t="n"/>
      <c r="I133" s="11" t="n"/>
      <c r="J133" s="11" t="n"/>
      <c r="K133" s="11">
        <f>IF(I133="","",J133-I133)</f>
        <v/>
      </c>
      <c r="L133">
        <f>IF(G133="","",IF(H133&lt;&gt;"",MAX(0,H133-G133),IF(AND(D133&lt;&gt;"Planned",TODAY()&gt;G133),TODAY()-G133,0)))</f>
        <v/>
      </c>
      <c r="M133">
        <f>IF(B133="","",IF(AND(K133&gt;0.1*I133,L133&gt;0),"Over budget + late",IF(K133&gt;0.1*I133,"Over budget",IF(L133&gt;0,"Late","On track"))))</f>
        <v/>
      </c>
    </row>
    <row r="134">
      <c r="F134" s="12" t="n"/>
      <c r="G134" s="12" t="n"/>
      <c r="H134" s="12" t="n"/>
      <c r="I134" s="11" t="n"/>
      <c r="J134" s="11" t="n"/>
      <c r="K134" s="11">
        <f>IF(I134="","",J134-I134)</f>
        <v/>
      </c>
      <c r="L134">
        <f>IF(G134="","",IF(H134&lt;&gt;"",MAX(0,H134-G134),IF(AND(D134&lt;&gt;"Planned",TODAY()&gt;G134),TODAY()-G134,0)))</f>
        <v/>
      </c>
      <c r="M134">
        <f>IF(B134="","",IF(AND(K134&gt;0.1*I134,L134&gt;0),"Over budget + late",IF(K134&gt;0.1*I134,"Over budget",IF(L134&gt;0,"Late","On track"))))</f>
        <v/>
      </c>
    </row>
    <row r="135">
      <c r="F135" s="12" t="n"/>
      <c r="G135" s="12" t="n"/>
      <c r="H135" s="12" t="n"/>
      <c r="I135" s="11" t="n"/>
      <c r="J135" s="11" t="n"/>
      <c r="K135" s="11">
        <f>IF(I135="","",J135-I135)</f>
        <v/>
      </c>
      <c r="L135">
        <f>IF(G135="","",IF(H135&lt;&gt;"",MAX(0,H135-G135),IF(AND(D135&lt;&gt;"Planned",TODAY()&gt;G135),TODAY()-G135,0)))</f>
        <v/>
      </c>
      <c r="M135">
        <f>IF(B135="","",IF(AND(K135&gt;0.1*I135,L135&gt;0),"Over budget + late",IF(K135&gt;0.1*I135,"Over budget",IF(L135&gt;0,"Late","On track"))))</f>
        <v/>
      </c>
    </row>
    <row r="136">
      <c r="F136" s="12" t="n"/>
      <c r="G136" s="12" t="n"/>
      <c r="H136" s="12" t="n"/>
      <c r="I136" s="11" t="n"/>
      <c r="J136" s="11" t="n"/>
      <c r="K136" s="11">
        <f>IF(I136="","",J136-I136)</f>
        <v/>
      </c>
      <c r="L136">
        <f>IF(G136="","",IF(H136&lt;&gt;"",MAX(0,H136-G136),IF(AND(D136&lt;&gt;"Planned",TODAY()&gt;G136),TODAY()-G136,0)))</f>
        <v/>
      </c>
      <c r="M136">
        <f>IF(B136="","",IF(AND(K136&gt;0.1*I136,L136&gt;0),"Over budget + late",IF(K136&gt;0.1*I136,"Over budget",IF(L136&gt;0,"Late","On track"))))</f>
        <v/>
      </c>
    </row>
    <row r="137">
      <c r="F137" s="12" t="n"/>
      <c r="G137" s="12" t="n"/>
      <c r="H137" s="12" t="n"/>
      <c r="I137" s="11" t="n"/>
      <c r="J137" s="11" t="n"/>
      <c r="K137" s="11">
        <f>IF(I137="","",J137-I137)</f>
        <v/>
      </c>
      <c r="L137">
        <f>IF(G137="","",IF(H137&lt;&gt;"",MAX(0,H137-G137),IF(AND(D137&lt;&gt;"Planned",TODAY()&gt;G137),TODAY()-G137,0)))</f>
        <v/>
      </c>
      <c r="M137">
        <f>IF(B137="","",IF(AND(K137&gt;0.1*I137,L137&gt;0),"Over budget + late",IF(K137&gt;0.1*I137,"Over budget",IF(L137&gt;0,"Late","On track"))))</f>
        <v/>
      </c>
    </row>
    <row r="138">
      <c r="F138" s="12" t="n"/>
      <c r="G138" s="12" t="n"/>
      <c r="H138" s="12" t="n"/>
      <c r="I138" s="11" t="n"/>
      <c r="J138" s="11" t="n"/>
      <c r="K138" s="11">
        <f>IF(I138="","",J138-I138)</f>
        <v/>
      </c>
      <c r="L138">
        <f>IF(G138="","",IF(H138&lt;&gt;"",MAX(0,H138-G138),IF(AND(D138&lt;&gt;"Planned",TODAY()&gt;G138),TODAY()-G138,0)))</f>
        <v/>
      </c>
      <c r="M138">
        <f>IF(B138="","",IF(AND(K138&gt;0.1*I138,L138&gt;0),"Over budget + late",IF(K138&gt;0.1*I138,"Over budget",IF(L138&gt;0,"Late","On track"))))</f>
        <v/>
      </c>
    </row>
    <row r="139">
      <c r="F139" s="12" t="n"/>
      <c r="G139" s="12" t="n"/>
      <c r="H139" s="12" t="n"/>
      <c r="I139" s="11" t="n"/>
      <c r="J139" s="11" t="n"/>
      <c r="K139" s="11">
        <f>IF(I139="","",J139-I139)</f>
        <v/>
      </c>
      <c r="L139">
        <f>IF(G139="","",IF(H139&lt;&gt;"",MAX(0,H139-G139),IF(AND(D139&lt;&gt;"Planned",TODAY()&gt;G139),TODAY()-G139,0)))</f>
        <v/>
      </c>
      <c r="M139">
        <f>IF(B139="","",IF(AND(K139&gt;0.1*I139,L139&gt;0),"Over budget + late",IF(K139&gt;0.1*I139,"Over budget",IF(L139&gt;0,"Late","On track"))))</f>
        <v/>
      </c>
    </row>
    <row r="140">
      <c r="F140" s="12" t="n"/>
      <c r="G140" s="12" t="n"/>
      <c r="H140" s="12" t="n"/>
      <c r="I140" s="11" t="n"/>
      <c r="J140" s="11" t="n"/>
      <c r="K140" s="11">
        <f>IF(I140="","",J140-I140)</f>
        <v/>
      </c>
      <c r="L140">
        <f>IF(G140="","",IF(H140&lt;&gt;"",MAX(0,H140-G140),IF(AND(D140&lt;&gt;"Planned",TODAY()&gt;G140),TODAY()-G140,0)))</f>
        <v/>
      </c>
      <c r="M140">
        <f>IF(B140="","",IF(AND(K140&gt;0.1*I140,L140&gt;0),"Over budget + late",IF(K140&gt;0.1*I140,"Over budget",IF(L140&gt;0,"Late","On track"))))</f>
        <v/>
      </c>
    </row>
    <row r="141">
      <c r="F141" s="12" t="n"/>
      <c r="G141" s="12" t="n"/>
      <c r="H141" s="12" t="n"/>
      <c r="I141" s="11" t="n"/>
      <c r="J141" s="11" t="n"/>
      <c r="K141" s="11">
        <f>IF(I141="","",J141-I141)</f>
        <v/>
      </c>
      <c r="L141">
        <f>IF(G141="","",IF(H141&lt;&gt;"",MAX(0,H141-G141),IF(AND(D141&lt;&gt;"Planned",TODAY()&gt;G141),TODAY()-G141,0)))</f>
        <v/>
      </c>
      <c r="M141">
        <f>IF(B141="","",IF(AND(K141&gt;0.1*I141,L141&gt;0),"Over budget + late",IF(K141&gt;0.1*I141,"Over budget",IF(L141&gt;0,"Late","On track"))))</f>
        <v/>
      </c>
    </row>
    <row r="142">
      <c r="F142" s="12" t="n"/>
      <c r="G142" s="12" t="n"/>
      <c r="H142" s="12" t="n"/>
      <c r="I142" s="11" t="n"/>
      <c r="J142" s="11" t="n"/>
      <c r="K142" s="11">
        <f>IF(I142="","",J142-I142)</f>
        <v/>
      </c>
      <c r="L142">
        <f>IF(G142="","",IF(H142&lt;&gt;"",MAX(0,H142-G142),IF(AND(D142&lt;&gt;"Planned",TODAY()&gt;G142),TODAY()-G142,0)))</f>
        <v/>
      </c>
      <c r="M142">
        <f>IF(B142="","",IF(AND(K142&gt;0.1*I142,L142&gt;0),"Over budget + late",IF(K142&gt;0.1*I142,"Over budget",IF(L142&gt;0,"Late","On track"))))</f>
        <v/>
      </c>
    </row>
    <row r="143">
      <c r="F143" s="12" t="n"/>
      <c r="G143" s="12" t="n"/>
      <c r="H143" s="12" t="n"/>
      <c r="I143" s="11" t="n"/>
      <c r="J143" s="11" t="n"/>
      <c r="K143" s="11">
        <f>IF(I143="","",J143-I143)</f>
        <v/>
      </c>
      <c r="L143">
        <f>IF(G143="","",IF(H143&lt;&gt;"",MAX(0,H143-G143),IF(AND(D143&lt;&gt;"Planned",TODAY()&gt;G143),TODAY()-G143,0)))</f>
        <v/>
      </c>
      <c r="M143">
        <f>IF(B143="","",IF(AND(K143&gt;0.1*I143,L143&gt;0),"Over budget + late",IF(K143&gt;0.1*I143,"Over budget",IF(L143&gt;0,"Late","On track"))))</f>
        <v/>
      </c>
    </row>
    <row r="144">
      <c r="F144" s="12" t="n"/>
      <c r="G144" s="12" t="n"/>
      <c r="H144" s="12" t="n"/>
      <c r="I144" s="11" t="n"/>
      <c r="J144" s="11" t="n"/>
      <c r="K144" s="11">
        <f>IF(I144="","",J144-I144)</f>
        <v/>
      </c>
      <c r="L144">
        <f>IF(G144="","",IF(H144&lt;&gt;"",MAX(0,H144-G144),IF(AND(D144&lt;&gt;"Planned",TODAY()&gt;G144),TODAY()-G144,0)))</f>
        <v/>
      </c>
      <c r="M144">
        <f>IF(B144="","",IF(AND(K144&gt;0.1*I144,L144&gt;0),"Over budget + late",IF(K144&gt;0.1*I144,"Over budget",IF(L144&gt;0,"Late","On track"))))</f>
        <v/>
      </c>
    </row>
    <row r="145">
      <c r="F145" s="12" t="n"/>
      <c r="G145" s="12" t="n"/>
      <c r="H145" s="12" t="n"/>
      <c r="I145" s="11" t="n"/>
      <c r="J145" s="11" t="n"/>
      <c r="K145" s="11">
        <f>IF(I145="","",J145-I145)</f>
        <v/>
      </c>
      <c r="L145">
        <f>IF(G145="","",IF(H145&lt;&gt;"",MAX(0,H145-G145),IF(AND(D145&lt;&gt;"Planned",TODAY()&gt;G145),TODAY()-G145,0)))</f>
        <v/>
      </c>
      <c r="M145">
        <f>IF(B145="","",IF(AND(K145&gt;0.1*I145,L145&gt;0),"Over budget + late",IF(K145&gt;0.1*I145,"Over budget",IF(L145&gt;0,"Late","On track"))))</f>
        <v/>
      </c>
    </row>
    <row r="146">
      <c r="F146" s="12" t="n"/>
      <c r="G146" s="12" t="n"/>
      <c r="H146" s="12" t="n"/>
      <c r="I146" s="11" t="n"/>
      <c r="J146" s="11" t="n"/>
      <c r="K146" s="11">
        <f>IF(I146="","",J146-I146)</f>
        <v/>
      </c>
      <c r="L146">
        <f>IF(G146="","",IF(H146&lt;&gt;"",MAX(0,H146-G146),IF(AND(D146&lt;&gt;"Planned",TODAY()&gt;G146),TODAY()-G146,0)))</f>
        <v/>
      </c>
      <c r="M146">
        <f>IF(B146="","",IF(AND(K146&gt;0.1*I146,L146&gt;0),"Over budget + late",IF(K146&gt;0.1*I146,"Over budget",IF(L146&gt;0,"Late","On track"))))</f>
        <v/>
      </c>
    </row>
    <row r="147">
      <c r="F147" s="12" t="n"/>
      <c r="G147" s="12" t="n"/>
      <c r="H147" s="12" t="n"/>
      <c r="I147" s="11" t="n"/>
      <c r="J147" s="11" t="n"/>
      <c r="K147" s="11">
        <f>IF(I147="","",J147-I147)</f>
        <v/>
      </c>
      <c r="L147">
        <f>IF(G147="","",IF(H147&lt;&gt;"",MAX(0,H147-G147),IF(AND(D147&lt;&gt;"Planned",TODAY()&gt;G147),TODAY()-G147,0)))</f>
        <v/>
      </c>
      <c r="M147">
        <f>IF(B147="","",IF(AND(K147&gt;0.1*I147,L147&gt;0),"Over budget + late",IF(K147&gt;0.1*I147,"Over budget",IF(L147&gt;0,"Late","On track"))))</f>
        <v/>
      </c>
    </row>
    <row r="148">
      <c r="F148" s="12" t="n"/>
      <c r="G148" s="12" t="n"/>
      <c r="H148" s="12" t="n"/>
      <c r="I148" s="11" t="n"/>
      <c r="J148" s="11" t="n"/>
      <c r="K148" s="11">
        <f>IF(I148="","",J148-I148)</f>
        <v/>
      </c>
      <c r="L148">
        <f>IF(G148="","",IF(H148&lt;&gt;"",MAX(0,H148-G148),IF(AND(D148&lt;&gt;"Planned",TODAY()&gt;G148),TODAY()-G148,0)))</f>
        <v/>
      </c>
      <c r="M148">
        <f>IF(B148="","",IF(AND(K148&gt;0.1*I148,L148&gt;0),"Over budget + late",IF(K148&gt;0.1*I148,"Over budget",IF(L148&gt;0,"Late","On track"))))</f>
        <v/>
      </c>
    </row>
    <row r="149">
      <c r="F149" s="12" t="n"/>
      <c r="G149" s="12" t="n"/>
      <c r="H149" s="12" t="n"/>
      <c r="I149" s="11" t="n"/>
      <c r="J149" s="11" t="n"/>
      <c r="K149" s="11">
        <f>IF(I149="","",J149-I149)</f>
        <v/>
      </c>
      <c r="L149">
        <f>IF(G149="","",IF(H149&lt;&gt;"",MAX(0,H149-G149),IF(AND(D149&lt;&gt;"Planned",TODAY()&gt;G149),TODAY()-G149,0)))</f>
        <v/>
      </c>
      <c r="M149">
        <f>IF(B149="","",IF(AND(K149&gt;0.1*I149,L149&gt;0),"Over budget + late",IF(K149&gt;0.1*I149,"Over budget",IF(L149&gt;0,"Late","On track"))))</f>
        <v/>
      </c>
    </row>
    <row r="150">
      <c r="F150" s="12" t="n"/>
      <c r="G150" s="12" t="n"/>
      <c r="H150" s="12" t="n"/>
      <c r="I150" s="11" t="n"/>
      <c r="J150" s="11" t="n"/>
      <c r="K150" s="11">
        <f>IF(I150="","",J150-I150)</f>
        <v/>
      </c>
      <c r="L150">
        <f>IF(G150="","",IF(H150&lt;&gt;"",MAX(0,H150-G150),IF(AND(D150&lt;&gt;"Planned",TODAY()&gt;G150),TODAY()-G150,0)))</f>
        <v/>
      </c>
      <c r="M150">
        <f>IF(B150="","",IF(AND(K150&gt;0.1*I150,L150&gt;0),"Over budget + late",IF(K150&gt;0.1*I150,"Over budget",IF(L150&gt;0,"Late","On track"))))</f>
        <v/>
      </c>
    </row>
    <row r="151">
      <c r="F151" s="12" t="n"/>
      <c r="G151" s="12" t="n"/>
      <c r="H151" s="12" t="n"/>
      <c r="I151" s="11" t="n"/>
      <c r="J151" s="11" t="n"/>
      <c r="K151" s="11">
        <f>IF(I151="","",J151-I151)</f>
        <v/>
      </c>
      <c r="L151">
        <f>IF(G151="","",IF(H151&lt;&gt;"",MAX(0,H151-G151),IF(AND(D151&lt;&gt;"Planned",TODAY()&gt;G151),TODAY()-G151,0)))</f>
        <v/>
      </c>
      <c r="M151">
        <f>IF(B151="","",IF(AND(K151&gt;0.1*I151,L151&gt;0),"Over budget + late",IF(K151&gt;0.1*I151,"Over budget",IF(L151&gt;0,"Late","On track"))))</f>
        <v/>
      </c>
    </row>
    <row r="152">
      <c r="F152" s="12" t="n"/>
      <c r="G152" s="12" t="n"/>
      <c r="H152" s="12" t="n"/>
      <c r="I152" s="11" t="n"/>
      <c r="J152" s="11" t="n"/>
      <c r="K152" s="11">
        <f>IF(I152="","",J152-I152)</f>
        <v/>
      </c>
      <c r="L152">
        <f>IF(G152="","",IF(H152&lt;&gt;"",MAX(0,H152-G152),IF(AND(D152&lt;&gt;"Planned",TODAY()&gt;G152),TODAY()-G152,0)))</f>
        <v/>
      </c>
      <c r="M152">
        <f>IF(B152="","",IF(AND(K152&gt;0.1*I152,L152&gt;0),"Over budget + late",IF(K152&gt;0.1*I152,"Over budget",IF(L152&gt;0,"Late","On track"))))</f>
        <v/>
      </c>
    </row>
    <row r="153">
      <c r="F153" s="12" t="n"/>
      <c r="G153" s="12" t="n"/>
      <c r="H153" s="12" t="n"/>
      <c r="I153" s="11" t="n"/>
      <c r="J153" s="11" t="n"/>
      <c r="K153" s="11">
        <f>IF(I153="","",J153-I153)</f>
        <v/>
      </c>
      <c r="L153">
        <f>IF(G153="","",IF(H153&lt;&gt;"",MAX(0,H153-G153),IF(AND(D153&lt;&gt;"Planned",TODAY()&gt;G153),TODAY()-G153,0)))</f>
        <v/>
      </c>
      <c r="M153">
        <f>IF(B153="","",IF(AND(K153&gt;0.1*I153,L153&gt;0),"Over budget + late",IF(K153&gt;0.1*I153,"Over budget",IF(L153&gt;0,"Late","On track"))))</f>
        <v/>
      </c>
    </row>
    <row r="154">
      <c r="F154" s="12" t="n"/>
      <c r="G154" s="12" t="n"/>
      <c r="H154" s="12" t="n"/>
      <c r="I154" s="11" t="n"/>
      <c r="J154" s="11" t="n"/>
      <c r="K154" s="11">
        <f>IF(I154="","",J154-I154)</f>
        <v/>
      </c>
      <c r="L154">
        <f>IF(G154="","",IF(H154&lt;&gt;"",MAX(0,H154-G154),IF(AND(D154&lt;&gt;"Planned",TODAY()&gt;G154),TODAY()-G154,0)))</f>
        <v/>
      </c>
      <c r="M154">
        <f>IF(B154="","",IF(AND(K154&gt;0.1*I154,L154&gt;0),"Over budget + late",IF(K154&gt;0.1*I154,"Over budget",IF(L154&gt;0,"Late","On track"))))</f>
        <v/>
      </c>
    </row>
    <row r="155">
      <c r="F155" s="12" t="n"/>
      <c r="G155" s="12" t="n"/>
      <c r="H155" s="12" t="n"/>
      <c r="I155" s="11" t="n"/>
      <c r="J155" s="11" t="n"/>
      <c r="K155" s="11">
        <f>IF(I155="","",J155-I155)</f>
        <v/>
      </c>
      <c r="L155">
        <f>IF(G155="","",IF(H155&lt;&gt;"",MAX(0,H155-G155),IF(AND(D155&lt;&gt;"Planned",TODAY()&gt;G155),TODAY()-G155,0)))</f>
        <v/>
      </c>
      <c r="M155">
        <f>IF(B155="","",IF(AND(K155&gt;0.1*I155,L155&gt;0),"Over budget + late",IF(K155&gt;0.1*I155,"Over budget",IF(L155&gt;0,"Late","On track"))))</f>
        <v/>
      </c>
    </row>
    <row r="156">
      <c r="F156" s="12" t="n"/>
      <c r="G156" s="12" t="n"/>
      <c r="H156" s="12" t="n"/>
      <c r="I156" s="11" t="n"/>
      <c r="J156" s="11" t="n"/>
      <c r="K156" s="11">
        <f>IF(I156="","",J156-I156)</f>
        <v/>
      </c>
      <c r="L156">
        <f>IF(G156="","",IF(H156&lt;&gt;"",MAX(0,H156-G156),IF(AND(D156&lt;&gt;"Planned",TODAY()&gt;G156),TODAY()-G156,0)))</f>
        <v/>
      </c>
      <c r="M156">
        <f>IF(B156="","",IF(AND(K156&gt;0.1*I156,L156&gt;0),"Over budget + late",IF(K156&gt;0.1*I156,"Over budget",IF(L156&gt;0,"Late","On track"))))</f>
        <v/>
      </c>
    </row>
    <row r="157">
      <c r="F157" s="12" t="n"/>
      <c r="G157" s="12" t="n"/>
      <c r="H157" s="12" t="n"/>
      <c r="I157" s="11" t="n"/>
      <c r="J157" s="11" t="n"/>
      <c r="K157" s="11">
        <f>IF(I157="","",J157-I157)</f>
        <v/>
      </c>
      <c r="L157">
        <f>IF(G157="","",IF(H157&lt;&gt;"",MAX(0,H157-G157),IF(AND(D157&lt;&gt;"Planned",TODAY()&gt;G157),TODAY()-G157,0)))</f>
        <v/>
      </c>
      <c r="M157">
        <f>IF(B157="","",IF(AND(K157&gt;0.1*I157,L157&gt;0),"Over budget + late",IF(K157&gt;0.1*I157,"Over budget",IF(L157&gt;0,"Late","On track"))))</f>
        <v/>
      </c>
    </row>
    <row r="158">
      <c r="F158" s="12" t="n"/>
      <c r="G158" s="12" t="n"/>
      <c r="H158" s="12" t="n"/>
      <c r="I158" s="11" t="n"/>
      <c r="J158" s="11" t="n"/>
      <c r="K158" s="11">
        <f>IF(I158="","",J158-I158)</f>
        <v/>
      </c>
      <c r="L158">
        <f>IF(G158="","",IF(H158&lt;&gt;"",MAX(0,H158-G158),IF(AND(D158&lt;&gt;"Planned",TODAY()&gt;G158),TODAY()-G158,0)))</f>
        <v/>
      </c>
      <c r="M158">
        <f>IF(B158="","",IF(AND(K158&gt;0.1*I158,L158&gt;0),"Over budget + late",IF(K158&gt;0.1*I158,"Over budget",IF(L158&gt;0,"Late","On track"))))</f>
        <v/>
      </c>
    </row>
    <row r="159">
      <c r="F159" s="12" t="n"/>
      <c r="G159" s="12" t="n"/>
      <c r="H159" s="12" t="n"/>
      <c r="I159" s="11" t="n"/>
      <c r="J159" s="11" t="n"/>
      <c r="K159" s="11">
        <f>IF(I159="","",J159-I159)</f>
        <v/>
      </c>
      <c r="L159">
        <f>IF(G159="","",IF(H159&lt;&gt;"",MAX(0,H159-G159),IF(AND(D159&lt;&gt;"Planned",TODAY()&gt;G159),TODAY()-G159,0)))</f>
        <v/>
      </c>
      <c r="M159">
        <f>IF(B159="","",IF(AND(K159&gt;0.1*I159,L159&gt;0),"Over budget + late",IF(K159&gt;0.1*I159,"Over budget",IF(L159&gt;0,"Late","On track"))))</f>
        <v/>
      </c>
    </row>
    <row r="160">
      <c r="F160" s="12" t="n"/>
      <c r="G160" s="12" t="n"/>
      <c r="H160" s="12" t="n"/>
      <c r="I160" s="11" t="n"/>
      <c r="J160" s="11" t="n"/>
      <c r="K160" s="11">
        <f>IF(I160="","",J160-I160)</f>
        <v/>
      </c>
      <c r="L160">
        <f>IF(G160="","",IF(H160&lt;&gt;"",MAX(0,H160-G160),IF(AND(D160&lt;&gt;"Planned",TODAY()&gt;G160),TODAY()-G160,0)))</f>
        <v/>
      </c>
      <c r="M160">
        <f>IF(B160="","",IF(AND(K160&gt;0.1*I160,L160&gt;0),"Over budget + late",IF(K160&gt;0.1*I160,"Over budget",IF(L160&gt;0,"Late","On track"))))</f>
        <v/>
      </c>
    </row>
    <row r="161">
      <c r="F161" s="12" t="n"/>
      <c r="G161" s="12" t="n"/>
      <c r="H161" s="12" t="n"/>
      <c r="I161" s="11" t="n"/>
      <c r="J161" s="11" t="n"/>
      <c r="K161" s="11">
        <f>IF(I161="","",J161-I161)</f>
        <v/>
      </c>
      <c r="L161">
        <f>IF(G161="","",IF(H161&lt;&gt;"",MAX(0,H161-G161),IF(AND(D161&lt;&gt;"Planned",TODAY()&gt;G161),TODAY()-G161,0)))</f>
        <v/>
      </c>
      <c r="M161">
        <f>IF(B161="","",IF(AND(K161&gt;0.1*I161,L161&gt;0),"Over budget + late",IF(K161&gt;0.1*I161,"Over budget",IF(L161&gt;0,"Late","On track"))))</f>
        <v/>
      </c>
    </row>
    <row r="162">
      <c r="F162" s="12" t="n"/>
      <c r="G162" s="12" t="n"/>
      <c r="H162" s="12" t="n"/>
      <c r="I162" s="11" t="n"/>
      <c r="J162" s="11" t="n"/>
      <c r="K162" s="11">
        <f>IF(I162="","",J162-I162)</f>
        <v/>
      </c>
      <c r="L162">
        <f>IF(G162="","",IF(H162&lt;&gt;"",MAX(0,H162-G162),IF(AND(D162&lt;&gt;"Planned",TODAY()&gt;G162),TODAY()-G162,0)))</f>
        <v/>
      </c>
      <c r="M162">
        <f>IF(B162="","",IF(AND(K162&gt;0.1*I162,L162&gt;0),"Over budget + late",IF(K162&gt;0.1*I162,"Over budget",IF(L162&gt;0,"Late","On track"))))</f>
        <v/>
      </c>
    </row>
    <row r="163">
      <c r="F163" s="12" t="n"/>
      <c r="G163" s="12" t="n"/>
      <c r="H163" s="12" t="n"/>
      <c r="I163" s="11" t="n"/>
      <c r="J163" s="11" t="n"/>
      <c r="K163" s="11">
        <f>IF(I163="","",J163-I163)</f>
        <v/>
      </c>
      <c r="L163">
        <f>IF(G163="","",IF(H163&lt;&gt;"",MAX(0,H163-G163),IF(AND(D163&lt;&gt;"Planned",TODAY()&gt;G163),TODAY()-G163,0)))</f>
        <v/>
      </c>
      <c r="M163">
        <f>IF(B163="","",IF(AND(K163&gt;0.1*I163,L163&gt;0),"Over budget + late",IF(K163&gt;0.1*I163,"Over budget",IF(L163&gt;0,"Late","On track"))))</f>
        <v/>
      </c>
    </row>
    <row r="164">
      <c r="F164" s="12" t="n"/>
      <c r="G164" s="12" t="n"/>
      <c r="H164" s="12" t="n"/>
      <c r="I164" s="11" t="n"/>
      <c r="J164" s="11" t="n"/>
      <c r="K164" s="11">
        <f>IF(I164="","",J164-I164)</f>
        <v/>
      </c>
      <c r="L164">
        <f>IF(G164="","",IF(H164&lt;&gt;"",MAX(0,H164-G164),IF(AND(D164&lt;&gt;"Planned",TODAY()&gt;G164),TODAY()-G164,0)))</f>
        <v/>
      </c>
      <c r="M164">
        <f>IF(B164="","",IF(AND(K164&gt;0.1*I164,L164&gt;0),"Over budget + late",IF(K164&gt;0.1*I164,"Over budget",IF(L164&gt;0,"Late","On track"))))</f>
        <v/>
      </c>
    </row>
    <row r="165">
      <c r="F165" s="12" t="n"/>
      <c r="G165" s="12" t="n"/>
      <c r="H165" s="12" t="n"/>
      <c r="I165" s="11" t="n"/>
      <c r="J165" s="11" t="n"/>
      <c r="K165" s="11">
        <f>IF(I165="","",J165-I165)</f>
        <v/>
      </c>
      <c r="L165">
        <f>IF(G165="","",IF(H165&lt;&gt;"",MAX(0,H165-G165),IF(AND(D165&lt;&gt;"Planned",TODAY()&gt;G165),TODAY()-G165,0)))</f>
        <v/>
      </c>
      <c r="M165">
        <f>IF(B165="","",IF(AND(K165&gt;0.1*I165,L165&gt;0),"Over budget + late",IF(K165&gt;0.1*I165,"Over budget",IF(L165&gt;0,"Late","On track"))))</f>
        <v/>
      </c>
    </row>
    <row r="166">
      <c r="F166" s="12" t="n"/>
      <c r="G166" s="12" t="n"/>
      <c r="H166" s="12" t="n"/>
      <c r="I166" s="11" t="n"/>
      <c r="J166" s="11" t="n"/>
      <c r="K166" s="11">
        <f>IF(I166="","",J166-I166)</f>
        <v/>
      </c>
      <c r="L166">
        <f>IF(G166="","",IF(H166&lt;&gt;"",MAX(0,H166-G166),IF(AND(D166&lt;&gt;"Planned",TODAY()&gt;G166),TODAY()-G166,0)))</f>
        <v/>
      </c>
      <c r="M166">
        <f>IF(B166="","",IF(AND(K166&gt;0.1*I166,L166&gt;0),"Over budget + late",IF(K166&gt;0.1*I166,"Over budget",IF(L166&gt;0,"Late","On track"))))</f>
        <v/>
      </c>
    </row>
    <row r="167">
      <c r="F167" s="12" t="n"/>
      <c r="G167" s="12" t="n"/>
      <c r="H167" s="12" t="n"/>
      <c r="I167" s="11" t="n"/>
      <c r="J167" s="11" t="n"/>
      <c r="K167" s="11">
        <f>IF(I167="","",J167-I167)</f>
        <v/>
      </c>
      <c r="L167">
        <f>IF(G167="","",IF(H167&lt;&gt;"",MAX(0,H167-G167),IF(AND(D167&lt;&gt;"Planned",TODAY()&gt;G167),TODAY()-G167,0)))</f>
        <v/>
      </c>
      <c r="M167">
        <f>IF(B167="","",IF(AND(K167&gt;0.1*I167,L167&gt;0),"Over budget + late",IF(K167&gt;0.1*I167,"Over budget",IF(L167&gt;0,"Late","On track"))))</f>
        <v/>
      </c>
    </row>
    <row r="168">
      <c r="F168" s="12" t="n"/>
      <c r="G168" s="12" t="n"/>
      <c r="H168" s="12" t="n"/>
      <c r="I168" s="11" t="n"/>
      <c r="J168" s="11" t="n"/>
      <c r="K168" s="11">
        <f>IF(I168="","",J168-I168)</f>
        <v/>
      </c>
      <c r="L168">
        <f>IF(G168="","",IF(H168&lt;&gt;"",MAX(0,H168-G168),IF(AND(D168&lt;&gt;"Planned",TODAY()&gt;G168),TODAY()-G168,0)))</f>
        <v/>
      </c>
      <c r="M168">
        <f>IF(B168="","",IF(AND(K168&gt;0.1*I168,L168&gt;0),"Over budget + late",IF(K168&gt;0.1*I168,"Over budget",IF(L168&gt;0,"Late","On track"))))</f>
        <v/>
      </c>
    </row>
    <row r="169">
      <c r="F169" s="12" t="n"/>
      <c r="G169" s="12" t="n"/>
      <c r="H169" s="12" t="n"/>
      <c r="I169" s="11" t="n"/>
      <c r="J169" s="11" t="n"/>
      <c r="K169" s="11">
        <f>IF(I169="","",J169-I169)</f>
        <v/>
      </c>
      <c r="L169">
        <f>IF(G169="","",IF(H169&lt;&gt;"",MAX(0,H169-G169),IF(AND(D169&lt;&gt;"Planned",TODAY()&gt;G169),TODAY()-G169,0)))</f>
        <v/>
      </c>
      <c r="M169">
        <f>IF(B169="","",IF(AND(K169&gt;0.1*I169,L169&gt;0),"Over budget + late",IF(K169&gt;0.1*I169,"Over budget",IF(L169&gt;0,"Late","On track"))))</f>
        <v/>
      </c>
    </row>
    <row r="170">
      <c r="F170" s="12" t="n"/>
      <c r="G170" s="12" t="n"/>
      <c r="H170" s="12" t="n"/>
      <c r="I170" s="11" t="n"/>
      <c r="J170" s="11" t="n"/>
      <c r="K170" s="11">
        <f>IF(I170="","",J170-I170)</f>
        <v/>
      </c>
      <c r="L170">
        <f>IF(G170="","",IF(H170&lt;&gt;"",MAX(0,H170-G170),IF(AND(D170&lt;&gt;"Planned",TODAY()&gt;G170),TODAY()-G170,0)))</f>
        <v/>
      </c>
      <c r="M170">
        <f>IF(B170="","",IF(AND(K170&gt;0.1*I170,L170&gt;0),"Over budget + late",IF(K170&gt;0.1*I170,"Over budget",IF(L170&gt;0,"Late","On track"))))</f>
        <v/>
      </c>
    </row>
    <row r="171">
      <c r="F171" s="12" t="n"/>
      <c r="G171" s="12" t="n"/>
      <c r="H171" s="12" t="n"/>
      <c r="I171" s="11" t="n"/>
      <c r="J171" s="11" t="n"/>
      <c r="K171" s="11">
        <f>IF(I171="","",J171-I171)</f>
        <v/>
      </c>
      <c r="L171">
        <f>IF(G171="","",IF(H171&lt;&gt;"",MAX(0,H171-G171),IF(AND(D171&lt;&gt;"Planned",TODAY()&gt;G171),TODAY()-G171,0)))</f>
        <v/>
      </c>
      <c r="M171">
        <f>IF(B171="","",IF(AND(K171&gt;0.1*I171,L171&gt;0),"Over budget + late",IF(K171&gt;0.1*I171,"Over budget",IF(L171&gt;0,"Late","On track"))))</f>
        <v/>
      </c>
    </row>
    <row r="172">
      <c r="F172" s="12" t="n"/>
      <c r="G172" s="12" t="n"/>
      <c r="H172" s="12" t="n"/>
      <c r="I172" s="11" t="n"/>
      <c r="J172" s="11" t="n"/>
      <c r="K172" s="11">
        <f>IF(I172="","",J172-I172)</f>
        <v/>
      </c>
      <c r="L172">
        <f>IF(G172="","",IF(H172&lt;&gt;"",MAX(0,H172-G172),IF(AND(D172&lt;&gt;"Planned",TODAY()&gt;G172),TODAY()-G172,0)))</f>
        <v/>
      </c>
      <c r="M172">
        <f>IF(B172="","",IF(AND(K172&gt;0.1*I172,L172&gt;0),"Over budget + late",IF(K172&gt;0.1*I172,"Over budget",IF(L172&gt;0,"Late","On track"))))</f>
        <v/>
      </c>
    </row>
    <row r="173">
      <c r="F173" s="12" t="n"/>
      <c r="G173" s="12" t="n"/>
      <c r="H173" s="12" t="n"/>
      <c r="I173" s="11" t="n"/>
      <c r="J173" s="11" t="n"/>
      <c r="K173" s="11">
        <f>IF(I173="","",J173-I173)</f>
        <v/>
      </c>
      <c r="L173">
        <f>IF(G173="","",IF(H173&lt;&gt;"",MAX(0,H173-G173),IF(AND(D173&lt;&gt;"Planned",TODAY()&gt;G173),TODAY()-G173,0)))</f>
        <v/>
      </c>
      <c r="M173">
        <f>IF(B173="","",IF(AND(K173&gt;0.1*I173,L173&gt;0),"Over budget + late",IF(K173&gt;0.1*I173,"Over budget",IF(L173&gt;0,"Late","On track"))))</f>
        <v/>
      </c>
    </row>
    <row r="174">
      <c r="F174" s="12" t="n"/>
      <c r="G174" s="12" t="n"/>
      <c r="H174" s="12" t="n"/>
      <c r="I174" s="11" t="n"/>
      <c r="J174" s="11" t="n"/>
      <c r="K174" s="11">
        <f>IF(I174="","",J174-I174)</f>
        <v/>
      </c>
      <c r="L174">
        <f>IF(G174="","",IF(H174&lt;&gt;"",MAX(0,H174-G174),IF(AND(D174&lt;&gt;"Planned",TODAY()&gt;G174),TODAY()-G174,0)))</f>
        <v/>
      </c>
      <c r="M174">
        <f>IF(B174="","",IF(AND(K174&gt;0.1*I174,L174&gt;0),"Over budget + late",IF(K174&gt;0.1*I174,"Over budget",IF(L174&gt;0,"Late","On track"))))</f>
        <v/>
      </c>
    </row>
    <row r="175">
      <c r="F175" s="12" t="n"/>
      <c r="G175" s="12" t="n"/>
      <c r="H175" s="12" t="n"/>
      <c r="I175" s="11" t="n"/>
      <c r="J175" s="11" t="n"/>
      <c r="K175" s="11">
        <f>IF(I175="","",J175-I175)</f>
        <v/>
      </c>
      <c r="L175">
        <f>IF(G175="","",IF(H175&lt;&gt;"",MAX(0,H175-G175),IF(AND(D175&lt;&gt;"Planned",TODAY()&gt;G175),TODAY()-G175,0)))</f>
        <v/>
      </c>
      <c r="M175">
        <f>IF(B175="","",IF(AND(K175&gt;0.1*I175,L175&gt;0),"Over budget + late",IF(K175&gt;0.1*I175,"Over budget",IF(L175&gt;0,"Late","On track"))))</f>
        <v/>
      </c>
    </row>
    <row r="176">
      <c r="F176" s="12" t="n"/>
      <c r="G176" s="12" t="n"/>
      <c r="H176" s="12" t="n"/>
      <c r="I176" s="11" t="n"/>
      <c r="J176" s="11" t="n"/>
      <c r="K176" s="11">
        <f>IF(I176="","",J176-I176)</f>
        <v/>
      </c>
      <c r="L176">
        <f>IF(G176="","",IF(H176&lt;&gt;"",MAX(0,H176-G176),IF(AND(D176&lt;&gt;"Planned",TODAY()&gt;G176),TODAY()-G176,0)))</f>
        <v/>
      </c>
      <c r="M176">
        <f>IF(B176="","",IF(AND(K176&gt;0.1*I176,L176&gt;0),"Over budget + late",IF(K176&gt;0.1*I176,"Over budget",IF(L176&gt;0,"Late","On track"))))</f>
        <v/>
      </c>
    </row>
    <row r="177">
      <c r="F177" s="12" t="n"/>
      <c r="G177" s="12" t="n"/>
      <c r="H177" s="12" t="n"/>
      <c r="I177" s="11" t="n"/>
      <c r="J177" s="11" t="n"/>
      <c r="K177" s="11">
        <f>IF(I177="","",J177-I177)</f>
        <v/>
      </c>
      <c r="L177">
        <f>IF(G177="","",IF(H177&lt;&gt;"",MAX(0,H177-G177),IF(AND(D177&lt;&gt;"Planned",TODAY()&gt;G177),TODAY()-G177,0)))</f>
        <v/>
      </c>
      <c r="M177">
        <f>IF(B177="","",IF(AND(K177&gt;0.1*I177,L177&gt;0),"Over budget + late",IF(K177&gt;0.1*I177,"Over budget",IF(L177&gt;0,"Late","On track"))))</f>
        <v/>
      </c>
    </row>
    <row r="178">
      <c r="F178" s="12" t="n"/>
      <c r="G178" s="12" t="n"/>
      <c r="H178" s="12" t="n"/>
      <c r="I178" s="11" t="n"/>
      <c r="J178" s="11" t="n"/>
      <c r="K178" s="11">
        <f>IF(I178="","",J178-I178)</f>
        <v/>
      </c>
      <c r="L178">
        <f>IF(G178="","",IF(H178&lt;&gt;"",MAX(0,H178-G178),IF(AND(D178&lt;&gt;"Planned",TODAY()&gt;G178),TODAY()-G178,0)))</f>
        <v/>
      </c>
      <c r="M178">
        <f>IF(B178="","",IF(AND(K178&gt;0.1*I178,L178&gt;0),"Over budget + late",IF(K178&gt;0.1*I178,"Over budget",IF(L178&gt;0,"Late","On track"))))</f>
        <v/>
      </c>
    </row>
    <row r="179">
      <c r="F179" s="12" t="n"/>
      <c r="G179" s="12" t="n"/>
      <c r="H179" s="12" t="n"/>
      <c r="I179" s="11" t="n"/>
      <c r="J179" s="11" t="n"/>
      <c r="K179" s="11">
        <f>IF(I179="","",J179-I179)</f>
        <v/>
      </c>
      <c r="L179">
        <f>IF(G179="","",IF(H179&lt;&gt;"",MAX(0,H179-G179),IF(AND(D179&lt;&gt;"Planned",TODAY()&gt;G179),TODAY()-G179,0)))</f>
        <v/>
      </c>
      <c r="M179">
        <f>IF(B179="","",IF(AND(K179&gt;0.1*I179,L179&gt;0),"Over budget + late",IF(K179&gt;0.1*I179,"Over budget",IF(L179&gt;0,"Late","On track"))))</f>
        <v/>
      </c>
    </row>
    <row r="180">
      <c r="F180" s="12" t="n"/>
      <c r="G180" s="12" t="n"/>
      <c r="H180" s="12" t="n"/>
      <c r="I180" s="11" t="n"/>
      <c r="J180" s="11" t="n"/>
      <c r="K180" s="11">
        <f>IF(I180="","",J180-I180)</f>
        <v/>
      </c>
      <c r="L180">
        <f>IF(G180="","",IF(H180&lt;&gt;"",MAX(0,H180-G180),IF(AND(D180&lt;&gt;"Planned",TODAY()&gt;G180),TODAY()-G180,0)))</f>
        <v/>
      </c>
      <c r="M180">
        <f>IF(B180="","",IF(AND(K180&gt;0.1*I180,L180&gt;0),"Over budget + late",IF(K180&gt;0.1*I180,"Over budget",IF(L180&gt;0,"Late","On track"))))</f>
        <v/>
      </c>
    </row>
    <row r="181">
      <c r="F181" s="12" t="n"/>
      <c r="G181" s="12" t="n"/>
      <c r="H181" s="12" t="n"/>
      <c r="I181" s="11" t="n"/>
      <c r="J181" s="11" t="n"/>
      <c r="K181" s="11">
        <f>IF(I181="","",J181-I181)</f>
        <v/>
      </c>
      <c r="L181">
        <f>IF(G181="","",IF(H181&lt;&gt;"",MAX(0,H181-G181),IF(AND(D181&lt;&gt;"Planned",TODAY()&gt;G181),TODAY()-G181,0)))</f>
        <v/>
      </c>
      <c r="M181">
        <f>IF(B181="","",IF(AND(K181&gt;0.1*I181,L181&gt;0),"Over budget + late",IF(K181&gt;0.1*I181,"Over budget",IF(L181&gt;0,"Late","On track"))))</f>
        <v/>
      </c>
    </row>
    <row r="182">
      <c r="F182" s="12" t="n"/>
      <c r="G182" s="12" t="n"/>
      <c r="H182" s="12" t="n"/>
      <c r="I182" s="11" t="n"/>
      <c r="J182" s="11" t="n"/>
      <c r="K182" s="11">
        <f>IF(I182="","",J182-I182)</f>
        <v/>
      </c>
      <c r="L182">
        <f>IF(G182="","",IF(H182&lt;&gt;"",MAX(0,H182-G182),IF(AND(D182&lt;&gt;"Planned",TODAY()&gt;G182),TODAY()-G182,0)))</f>
        <v/>
      </c>
      <c r="M182">
        <f>IF(B182="","",IF(AND(K182&gt;0.1*I182,L182&gt;0),"Over budget + late",IF(K182&gt;0.1*I182,"Over budget",IF(L182&gt;0,"Late","On track"))))</f>
        <v/>
      </c>
    </row>
    <row r="183">
      <c r="F183" s="12" t="n"/>
      <c r="G183" s="12" t="n"/>
      <c r="H183" s="12" t="n"/>
      <c r="I183" s="11" t="n"/>
      <c r="J183" s="11" t="n"/>
      <c r="K183" s="11">
        <f>IF(I183="","",J183-I183)</f>
        <v/>
      </c>
      <c r="L183">
        <f>IF(G183="","",IF(H183&lt;&gt;"",MAX(0,H183-G183),IF(AND(D183&lt;&gt;"Planned",TODAY()&gt;G183),TODAY()-G183,0)))</f>
        <v/>
      </c>
      <c r="M183">
        <f>IF(B183="","",IF(AND(K183&gt;0.1*I183,L183&gt;0),"Over budget + late",IF(K183&gt;0.1*I183,"Over budget",IF(L183&gt;0,"Late","On track"))))</f>
        <v/>
      </c>
    </row>
    <row r="184">
      <c r="F184" s="12" t="n"/>
      <c r="G184" s="12" t="n"/>
      <c r="H184" s="12" t="n"/>
      <c r="I184" s="11" t="n"/>
      <c r="J184" s="11" t="n"/>
      <c r="K184" s="11">
        <f>IF(I184="","",J184-I184)</f>
        <v/>
      </c>
      <c r="L184">
        <f>IF(G184="","",IF(H184&lt;&gt;"",MAX(0,H184-G184),IF(AND(D184&lt;&gt;"Planned",TODAY()&gt;G184),TODAY()-G184,0)))</f>
        <v/>
      </c>
      <c r="M184">
        <f>IF(B184="","",IF(AND(K184&gt;0.1*I184,L184&gt;0),"Over budget + late",IF(K184&gt;0.1*I184,"Over budget",IF(L184&gt;0,"Late","On track"))))</f>
        <v/>
      </c>
    </row>
    <row r="185">
      <c r="F185" s="12" t="n"/>
      <c r="G185" s="12" t="n"/>
      <c r="H185" s="12" t="n"/>
      <c r="I185" s="11" t="n"/>
      <c r="J185" s="11" t="n"/>
      <c r="K185" s="11">
        <f>IF(I185="","",J185-I185)</f>
        <v/>
      </c>
      <c r="L185">
        <f>IF(G185="","",IF(H185&lt;&gt;"",MAX(0,H185-G185),IF(AND(D185&lt;&gt;"Planned",TODAY()&gt;G185),TODAY()-G185,0)))</f>
        <v/>
      </c>
      <c r="M185">
        <f>IF(B185="","",IF(AND(K185&gt;0.1*I185,L185&gt;0),"Over budget + late",IF(K185&gt;0.1*I185,"Over budget",IF(L185&gt;0,"Late","On track"))))</f>
        <v/>
      </c>
    </row>
    <row r="186">
      <c r="F186" s="12" t="n"/>
      <c r="G186" s="12" t="n"/>
      <c r="H186" s="12" t="n"/>
      <c r="I186" s="11" t="n"/>
      <c r="J186" s="11" t="n"/>
      <c r="K186" s="11">
        <f>IF(I186="","",J186-I186)</f>
        <v/>
      </c>
      <c r="L186">
        <f>IF(G186="","",IF(H186&lt;&gt;"",MAX(0,H186-G186),IF(AND(D186&lt;&gt;"Planned",TODAY()&gt;G186),TODAY()-G186,0)))</f>
        <v/>
      </c>
      <c r="M186">
        <f>IF(B186="","",IF(AND(K186&gt;0.1*I186,L186&gt;0),"Over budget + late",IF(K186&gt;0.1*I186,"Over budget",IF(L186&gt;0,"Late","On track"))))</f>
        <v/>
      </c>
    </row>
    <row r="187">
      <c r="F187" s="12" t="n"/>
      <c r="G187" s="12" t="n"/>
      <c r="H187" s="12" t="n"/>
      <c r="I187" s="11" t="n"/>
      <c r="J187" s="11" t="n"/>
      <c r="K187" s="11">
        <f>IF(I187="","",J187-I187)</f>
        <v/>
      </c>
      <c r="L187">
        <f>IF(G187="","",IF(H187&lt;&gt;"",MAX(0,H187-G187),IF(AND(D187&lt;&gt;"Planned",TODAY()&gt;G187),TODAY()-G187,0)))</f>
        <v/>
      </c>
      <c r="M187">
        <f>IF(B187="","",IF(AND(K187&gt;0.1*I187,L187&gt;0),"Over budget + late",IF(K187&gt;0.1*I187,"Over budget",IF(L187&gt;0,"Late","On track"))))</f>
        <v/>
      </c>
    </row>
    <row r="188">
      <c r="F188" s="12" t="n"/>
      <c r="G188" s="12" t="n"/>
      <c r="H188" s="12" t="n"/>
      <c r="I188" s="11" t="n"/>
      <c r="J188" s="11" t="n"/>
      <c r="K188" s="11">
        <f>IF(I188="","",J188-I188)</f>
        <v/>
      </c>
      <c r="L188">
        <f>IF(G188="","",IF(H188&lt;&gt;"",MAX(0,H188-G188),IF(AND(D188&lt;&gt;"Planned",TODAY()&gt;G188),TODAY()-G188,0)))</f>
        <v/>
      </c>
      <c r="M188">
        <f>IF(B188="","",IF(AND(K188&gt;0.1*I188,L188&gt;0),"Over budget + late",IF(K188&gt;0.1*I188,"Over budget",IF(L188&gt;0,"Late","On track"))))</f>
        <v/>
      </c>
    </row>
    <row r="189">
      <c r="F189" s="12" t="n"/>
      <c r="G189" s="12" t="n"/>
      <c r="H189" s="12" t="n"/>
      <c r="I189" s="11" t="n"/>
      <c r="J189" s="11" t="n"/>
      <c r="K189" s="11">
        <f>IF(I189="","",J189-I189)</f>
        <v/>
      </c>
      <c r="L189">
        <f>IF(G189="","",IF(H189&lt;&gt;"",MAX(0,H189-G189),IF(AND(D189&lt;&gt;"Planned",TODAY()&gt;G189),TODAY()-G189,0)))</f>
        <v/>
      </c>
      <c r="M189">
        <f>IF(B189="","",IF(AND(K189&gt;0.1*I189,L189&gt;0),"Over budget + late",IF(K189&gt;0.1*I189,"Over budget",IF(L189&gt;0,"Late","On track"))))</f>
        <v/>
      </c>
    </row>
    <row r="190">
      <c r="F190" s="12" t="n"/>
      <c r="G190" s="12" t="n"/>
      <c r="H190" s="12" t="n"/>
      <c r="I190" s="11" t="n"/>
      <c r="J190" s="11" t="n"/>
      <c r="K190" s="11">
        <f>IF(I190="","",J190-I190)</f>
        <v/>
      </c>
      <c r="L190">
        <f>IF(G190="","",IF(H190&lt;&gt;"",MAX(0,H190-G190),IF(AND(D190&lt;&gt;"Planned",TODAY()&gt;G190),TODAY()-G190,0)))</f>
        <v/>
      </c>
      <c r="M190">
        <f>IF(B190="","",IF(AND(K190&gt;0.1*I190,L190&gt;0),"Over budget + late",IF(K190&gt;0.1*I190,"Over budget",IF(L190&gt;0,"Late","On track"))))</f>
        <v/>
      </c>
    </row>
    <row r="191">
      <c r="F191" s="12" t="n"/>
      <c r="G191" s="12" t="n"/>
      <c r="H191" s="12" t="n"/>
      <c r="I191" s="11" t="n"/>
      <c r="J191" s="11" t="n"/>
      <c r="K191" s="11">
        <f>IF(I191="","",J191-I191)</f>
        <v/>
      </c>
      <c r="L191">
        <f>IF(G191="","",IF(H191&lt;&gt;"",MAX(0,H191-G191),IF(AND(D191&lt;&gt;"Planned",TODAY()&gt;G191),TODAY()-G191,0)))</f>
        <v/>
      </c>
      <c r="M191">
        <f>IF(B191="","",IF(AND(K191&gt;0.1*I191,L191&gt;0),"Over budget + late",IF(K191&gt;0.1*I191,"Over budget",IF(L191&gt;0,"Late","On track"))))</f>
        <v/>
      </c>
    </row>
    <row r="192">
      <c r="F192" s="12" t="n"/>
      <c r="G192" s="12" t="n"/>
      <c r="H192" s="12" t="n"/>
      <c r="I192" s="11" t="n"/>
      <c r="J192" s="11" t="n"/>
      <c r="K192" s="11">
        <f>IF(I192="","",J192-I192)</f>
        <v/>
      </c>
      <c r="L192">
        <f>IF(G192="","",IF(H192&lt;&gt;"",MAX(0,H192-G192),IF(AND(D192&lt;&gt;"Planned",TODAY()&gt;G192),TODAY()-G192,0)))</f>
        <v/>
      </c>
      <c r="M192">
        <f>IF(B192="","",IF(AND(K192&gt;0.1*I192,L192&gt;0),"Over budget + late",IF(K192&gt;0.1*I192,"Over budget",IF(L192&gt;0,"Late","On track"))))</f>
        <v/>
      </c>
    </row>
    <row r="193">
      <c r="F193" s="12" t="n"/>
      <c r="G193" s="12" t="n"/>
      <c r="H193" s="12" t="n"/>
      <c r="I193" s="11" t="n"/>
      <c r="J193" s="11" t="n"/>
      <c r="K193" s="11">
        <f>IF(I193="","",J193-I193)</f>
        <v/>
      </c>
      <c r="L193">
        <f>IF(G193="","",IF(H193&lt;&gt;"",MAX(0,H193-G193),IF(AND(D193&lt;&gt;"Planned",TODAY()&gt;G193),TODAY()-G193,0)))</f>
        <v/>
      </c>
      <c r="M193">
        <f>IF(B193="","",IF(AND(K193&gt;0.1*I193,L193&gt;0),"Over budget + late",IF(K193&gt;0.1*I193,"Over budget",IF(L193&gt;0,"Late","On track"))))</f>
        <v/>
      </c>
    </row>
    <row r="194">
      <c r="F194" s="12" t="n"/>
      <c r="G194" s="12" t="n"/>
      <c r="H194" s="12" t="n"/>
      <c r="I194" s="11" t="n"/>
      <c r="J194" s="11" t="n"/>
      <c r="K194" s="11">
        <f>IF(I194="","",J194-I194)</f>
        <v/>
      </c>
      <c r="L194">
        <f>IF(G194="","",IF(H194&lt;&gt;"",MAX(0,H194-G194),IF(AND(D194&lt;&gt;"Planned",TODAY()&gt;G194),TODAY()-G194,0)))</f>
        <v/>
      </c>
      <c r="M194">
        <f>IF(B194="","",IF(AND(K194&gt;0.1*I194,L194&gt;0),"Over budget + late",IF(K194&gt;0.1*I194,"Over budget",IF(L194&gt;0,"Late","On track"))))</f>
        <v/>
      </c>
    </row>
    <row r="195">
      <c r="F195" s="12" t="n"/>
      <c r="G195" s="12" t="n"/>
      <c r="H195" s="12" t="n"/>
      <c r="I195" s="11" t="n"/>
      <c r="J195" s="11" t="n"/>
      <c r="K195" s="11">
        <f>IF(I195="","",J195-I195)</f>
        <v/>
      </c>
      <c r="L195">
        <f>IF(G195="","",IF(H195&lt;&gt;"",MAX(0,H195-G195),IF(AND(D195&lt;&gt;"Planned",TODAY()&gt;G195),TODAY()-G195,0)))</f>
        <v/>
      </c>
      <c r="M195">
        <f>IF(B195="","",IF(AND(K195&gt;0.1*I195,L195&gt;0),"Over budget + late",IF(K195&gt;0.1*I195,"Over budget",IF(L195&gt;0,"Late","On track"))))</f>
        <v/>
      </c>
    </row>
    <row r="196">
      <c r="F196" s="12" t="n"/>
      <c r="G196" s="12" t="n"/>
      <c r="H196" s="12" t="n"/>
      <c r="I196" s="11" t="n"/>
      <c r="J196" s="11" t="n"/>
      <c r="K196" s="11">
        <f>IF(I196="","",J196-I196)</f>
        <v/>
      </c>
      <c r="L196">
        <f>IF(G196="","",IF(H196&lt;&gt;"",MAX(0,H196-G196),IF(AND(D196&lt;&gt;"Planned",TODAY()&gt;G196),TODAY()-G196,0)))</f>
        <v/>
      </c>
      <c r="M196">
        <f>IF(B196="","",IF(AND(K196&gt;0.1*I196,L196&gt;0),"Over budget + late",IF(K196&gt;0.1*I196,"Over budget",IF(L196&gt;0,"Late","On track"))))</f>
        <v/>
      </c>
    </row>
    <row r="197">
      <c r="F197" s="12" t="n"/>
      <c r="G197" s="12" t="n"/>
      <c r="H197" s="12" t="n"/>
      <c r="I197" s="11" t="n"/>
      <c r="J197" s="11" t="n"/>
      <c r="K197" s="11">
        <f>IF(I197="","",J197-I197)</f>
        <v/>
      </c>
      <c r="L197">
        <f>IF(G197="","",IF(H197&lt;&gt;"",MAX(0,H197-G197),IF(AND(D197&lt;&gt;"Planned",TODAY()&gt;G197),TODAY()-G197,0)))</f>
        <v/>
      </c>
      <c r="M197">
        <f>IF(B197="","",IF(AND(K197&gt;0.1*I197,L197&gt;0),"Over budget + late",IF(K197&gt;0.1*I197,"Over budget",IF(L197&gt;0,"Late","On track"))))</f>
        <v/>
      </c>
    </row>
    <row r="198">
      <c r="F198" s="12" t="n"/>
      <c r="G198" s="12" t="n"/>
      <c r="H198" s="12" t="n"/>
      <c r="I198" s="11" t="n"/>
      <c r="J198" s="11" t="n"/>
      <c r="K198" s="11">
        <f>IF(I198="","",J198-I198)</f>
        <v/>
      </c>
      <c r="L198">
        <f>IF(G198="","",IF(H198&lt;&gt;"",MAX(0,H198-G198),IF(AND(D198&lt;&gt;"Planned",TODAY()&gt;G198),TODAY()-G198,0)))</f>
        <v/>
      </c>
      <c r="M198">
        <f>IF(B198="","",IF(AND(K198&gt;0.1*I198,L198&gt;0),"Over budget + late",IF(K198&gt;0.1*I198,"Over budget",IF(L198&gt;0,"Late","On track"))))</f>
        <v/>
      </c>
    </row>
    <row r="199">
      <c r="F199" s="12" t="n"/>
      <c r="G199" s="12" t="n"/>
      <c r="H199" s="12" t="n"/>
      <c r="I199" s="11" t="n"/>
      <c r="J199" s="11" t="n"/>
      <c r="K199" s="11">
        <f>IF(I199="","",J199-I199)</f>
        <v/>
      </c>
      <c r="L199">
        <f>IF(G199="","",IF(H199&lt;&gt;"",MAX(0,H199-G199),IF(AND(D199&lt;&gt;"Planned",TODAY()&gt;G199),TODAY()-G199,0)))</f>
        <v/>
      </c>
      <c r="M199">
        <f>IF(B199="","",IF(AND(K199&gt;0.1*I199,L199&gt;0),"Over budget + late",IF(K199&gt;0.1*I199,"Over budget",IF(L199&gt;0,"Late","On track"))))</f>
        <v/>
      </c>
    </row>
    <row r="200">
      <c r="F200" s="12" t="n"/>
      <c r="G200" s="12" t="n"/>
      <c r="H200" s="12" t="n"/>
      <c r="I200" s="11" t="n"/>
      <c r="J200" s="11" t="n"/>
      <c r="K200" s="11">
        <f>IF(I200="","",J200-I200)</f>
        <v/>
      </c>
      <c r="L200">
        <f>IF(G200="","",IF(H200&lt;&gt;"",MAX(0,H200-G200),IF(AND(D200&lt;&gt;"Planned",TODAY()&gt;G200),TODAY()-G200,0)))</f>
        <v/>
      </c>
      <c r="M200">
        <f>IF(B200="","",IF(AND(K200&gt;0.1*I200,L200&gt;0),"Over budget + late",IF(K200&gt;0.1*I200,"Over budget",IF(L200&gt;0,"Late","On track"))))</f>
        <v/>
      </c>
    </row>
  </sheetData>
  <conditionalFormatting sqref="M2:M200">
    <cfRule type="expression" priority="1" dxfId="0">
      <formula>OR(M2="On track",M2="OK")</formula>
    </cfRule>
    <cfRule type="expression" priority="2" dxfId="1">
      <formula>AND(M2&lt;&gt;"",M2&lt;&gt;"On track",M2&lt;&gt;"OK")</formula>
    </cfRule>
  </conditionalFormatting>
  <dataValidations count="5">
    <dataValidation sqref="C2:C200" showDropDown="0" showInputMessage="0" showErrorMessage="1" allowBlank="1" errorTitle="Pick from list" error="Choose a listed value" type="list">
      <formula1>"Website,Marketing,Operations,Finance,IT"</formula1>
    </dataValidation>
    <dataValidation sqref="D2:D200" showDropDown="0" showInputMessage="0" showErrorMessage="1" allowBlank="1" errorTitle="Pick from list" error="Choose a listed value" type="list">
      <formula1>"Planned,In Progress,Done,On Hold"</formula1>
    </dataValidation>
    <dataValidation sqref="F2:F200" showDropDown="0" showInputMessage="0" showErrorMessage="1" allowBlank="1" error="Enter a valid date" type="date" operator="greaterThan">
      <formula1>36526</formula1>
    </dataValidation>
    <dataValidation sqref="G2:G200" showDropDown="0" showInputMessage="0" showErrorMessage="1" allowBlank="1" error="Enter a valid date" type="date" operator="greaterThan">
      <formula1>36526</formula1>
    </dataValidation>
    <dataValidation sqref="H2:H200" showDropDown="0" showInputMessage="0" showErrorMessage="1" allowBlank="1" error="Enter a valid date" type="date" operator="greaterThan">
      <formula1>36526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1" customWidth="1" min="11" max="11"/>
    <col width="13" customWidth="1" min="12" max="12"/>
    <col width="18" customWidth="1" min="13" max="13"/>
  </cols>
  <sheetData>
    <row r="1" ht="32" customHeight="1">
      <c r="A1" s="8" t="inlineStr">
        <is>
          <t>Ticket</t>
        </is>
      </c>
      <c r="B1" s="8" t="inlineStr">
        <is>
          <t>Client</t>
        </is>
      </c>
      <c r="C1" s="8" t="inlineStr">
        <is>
          <t>Type</t>
        </is>
      </c>
      <c r="D1" s="8" t="inlineStr">
        <is>
          <t>Status</t>
        </is>
      </c>
      <c r="E1" s="8" t="inlineStr">
        <is>
          <t>Opened</t>
        </is>
      </c>
      <c r="F1" s="8" t="inlineStr">
        <is>
          <t>Due</t>
        </is>
      </c>
      <c r="G1" s="8" t="inlineStr">
        <is>
          <t>Closed</t>
        </is>
      </c>
      <c r="H1" s="8" t="inlineStr">
        <is>
          <t>Est. Hours</t>
        </is>
      </c>
      <c r="I1" s="8" t="inlineStr">
        <is>
          <t>Actual Hours</t>
        </is>
      </c>
      <c r="J1" s="8" t="inlineStr">
        <is>
          <t>Rate / hr</t>
        </is>
      </c>
      <c r="K1" s="8" t="inlineStr">
        <is>
          <t>Cost</t>
        </is>
      </c>
      <c r="L1" s="8" t="inlineStr">
        <is>
          <t>Slippage (days)</t>
        </is>
      </c>
      <c r="M1" s="8" t="inlineStr">
        <is>
          <t>Performance Flag</t>
        </is>
      </c>
    </row>
    <row r="2">
      <c r="A2" s="3" t="inlineStr">
        <is>
          <t>T-101</t>
        </is>
      </c>
      <c r="B2" s="3" t="inlineStr">
        <is>
          <t>Northwind Foods</t>
        </is>
      </c>
      <c r="C2" s="3" t="inlineStr">
        <is>
          <t>Onboarding</t>
        </is>
      </c>
      <c r="D2" s="3" t="inlineStr">
        <is>
          <t>Closed</t>
        </is>
      </c>
      <c r="E2" s="9" t="n">
        <v>46237</v>
      </c>
      <c r="F2" s="9" t="n">
        <v>46244</v>
      </c>
      <c r="G2" s="9" t="n">
        <v>46243</v>
      </c>
      <c r="H2" s="3" t="n">
        <v>6</v>
      </c>
      <c r="I2" s="3" t="n">
        <v>5.5</v>
      </c>
      <c r="J2" s="3" t="n">
        <v>60</v>
      </c>
      <c r="K2" s="13">
        <f>IF(I2="","",I2*J2)</f>
        <v/>
      </c>
      <c r="L2">
        <f>IF(F2="","",IF(G2&lt;&gt;"",MAX(0,G2-F2),IF(TODAY()&gt;F2,TODAY()-F2,0)))</f>
        <v/>
      </c>
      <c r="M2">
        <f>IF(B2="","",IF(AND(I2&gt;1.25*H2,L2&gt;0),"Over hours + late",IF(I2&gt;1.25*H2,"Over hours",IF(L2&gt;0,"Late","On track"))))</f>
        <v/>
      </c>
    </row>
    <row r="3">
      <c r="A3" s="3" t="inlineStr">
        <is>
          <t>T-102</t>
        </is>
      </c>
      <c r="B3" s="3" t="inlineStr">
        <is>
          <t>Blue Harbor Dental</t>
        </is>
      </c>
      <c r="C3" s="3" t="inlineStr">
        <is>
          <t>Support</t>
        </is>
      </c>
      <c r="D3" s="3" t="inlineStr">
        <is>
          <t>Resolved</t>
        </is>
      </c>
      <c r="E3" s="9" t="n">
        <v>46246</v>
      </c>
      <c r="F3" s="9" t="n">
        <v>46248</v>
      </c>
      <c r="G3" s="9" t="n">
        <v>46251</v>
      </c>
      <c r="H3" s="3" t="n">
        <v>2</v>
      </c>
      <c r="I3" s="3" t="n">
        <v>4</v>
      </c>
      <c r="J3" s="3" t="n">
        <v>60</v>
      </c>
      <c r="K3" s="13">
        <f>IF(I3="","",I3*J3)</f>
        <v/>
      </c>
      <c r="L3">
        <f>IF(F3="","",IF(G3&lt;&gt;"",MAX(0,G3-F3),IF(TODAY()&gt;F3,TODAY()-F3,0)))</f>
        <v/>
      </c>
      <c r="M3">
        <f>IF(B3="","",IF(AND(I3&gt;1.25*H3,L3&gt;0),"Over hours + late",IF(I3&gt;1.25*H3,"Over hours",IF(L3&gt;0,"Late","On track"))))</f>
        <v/>
      </c>
    </row>
    <row r="4">
      <c r="A4" s="3" t="inlineStr">
        <is>
          <t>T-103</t>
        </is>
      </c>
      <c r="B4" s="3" t="inlineStr">
        <is>
          <t>Kestrel Logistics</t>
        </is>
      </c>
      <c r="C4" s="3" t="inlineStr">
        <is>
          <t>Billing</t>
        </is>
      </c>
      <c r="D4" s="3" t="inlineStr">
        <is>
          <t>Closed</t>
        </is>
      </c>
      <c r="E4" s="9" t="n">
        <v>46249</v>
      </c>
      <c r="F4" s="9" t="n">
        <v>46254</v>
      </c>
      <c r="G4" s="9" t="n">
        <v>46253</v>
      </c>
      <c r="H4" s="3" t="n">
        <v>1.5</v>
      </c>
      <c r="I4" s="3" t="n">
        <v>1</v>
      </c>
      <c r="J4" s="3" t="n">
        <v>60</v>
      </c>
      <c r="K4" s="13">
        <f>IF(I4="","",I4*J4)</f>
        <v/>
      </c>
      <c r="L4">
        <f>IF(F4="","",IF(G4&lt;&gt;"",MAX(0,G4-F4),IF(TODAY()&gt;F4,TODAY()-F4,0)))</f>
        <v/>
      </c>
      <c r="M4">
        <f>IF(B4="","",IF(AND(I4&gt;1.25*H4,L4&gt;0),"Over hours + late",IF(I4&gt;1.25*H4,"Over hours",IF(L4&gt;0,"Late","On track"))))</f>
        <v/>
      </c>
    </row>
    <row r="5">
      <c r="A5" s="3" t="inlineStr">
        <is>
          <t>T-104</t>
        </is>
      </c>
      <c r="B5" s="3" t="inlineStr">
        <is>
          <t>Northwind Foods</t>
        </is>
      </c>
      <c r="C5" s="3" t="inlineStr">
        <is>
          <t>Change Request</t>
        </is>
      </c>
      <c r="D5" s="3" t="inlineStr">
        <is>
          <t>Open</t>
        </is>
      </c>
      <c r="E5" s="9" t="n">
        <v>46266</v>
      </c>
      <c r="F5" s="9" t="n">
        <v>46277</v>
      </c>
      <c r="G5" s="9" t="n"/>
      <c r="H5" s="3" t="n">
        <v>10</v>
      </c>
      <c r="I5" s="3" t="n">
        <v>7</v>
      </c>
      <c r="J5" s="3" t="n">
        <v>75</v>
      </c>
      <c r="K5" s="13">
        <f>IF(I5="","",I5*J5)</f>
        <v/>
      </c>
      <c r="L5">
        <f>IF(F5="","",IF(G5&lt;&gt;"",MAX(0,G5-F5),IF(TODAY()&gt;F5,TODAY()-F5,0)))</f>
        <v/>
      </c>
      <c r="M5">
        <f>IF(B5="","",IF(AND(I5&gt;1.25*H5,L5&gt;0),"Over hours + late",IF(I5&gt;1.25*H5,"Over hours",IF(L5&gt;0,"Late","On track"))))</f>
        <v/>
      </c>
    </row>
    <row r="6">
      <c r="A6" s="3" t="inlineStr">
        <is>
          <t>T-105</t>
        </is>
      </c>
      <c r="B6" s="3" t="inlineStr">
        <is>
          <t>Alder &amp; Finch LLP</t>
        </is>
      </c>
      <c r="C6" s="3" t="inlineStr">
        <is>
          <t>Support</t>
        </is>
      </c>
      <c r="D6" s="3" t="inlineStr">
        <is>
          <t>Waiting Client</t>
        </is>
      </c>
      <c r="E6" s="9" t="n">
        <v>46268</v>
      </c>
      <c r="F6" s="9" t="n">
        <v>46273</v>
      </c>
      <c r="G6" s="9" t="n"/>
      <c r="H6" s="3" t="n">
        <v>3</v>
      </c>
      <c r="I6" s="3" t="n">
        <v>3.5</v>
      </c>
      <c r="J6" s="3" t="n">
        <v>60</v>
      </c>
      <c r="K6" s="13">
        <f>IF(I6="","",I6*J6)</f>
        <v/>
      </c>
      <c r="L6">
        <f>IF(F6="","",IF(G6&lt;&gt;"",MAX(0,G6-F6),IF(TODAY()&gt;F6,TODAY()-F6,0)))</f>
        <v/>
      </c>
      <c r="M6">
        <f>IF(B6="","",IF(AND(I6&gt;1.25*H6,L6&gt;0),"Over hours + late",IF(I6&gt;1.25*H6,"Over hours",IF(L6&gt;0,"Late","On track"))))</f>
        <v/>
      </c>
    </row>
    <row r="7">
      <c r="A7" s="3" t="inlineStr">
        <is>
          <t>T-106</t>
        </is>
      </c>
      <c r="B7" s="3" t="inlineStr">
        <is>
          <t>Blue Harbor Dental</t>
        </is>
      </c>
      <c r="C7" s="3" t="inlineStr">
        <is>
          <t>Onboarding</t>
        </is>
      </c>
      <c r="D7" s="3" t="inlineStr">
        <is>
          <t>Resolved</t>
        </is>
      </c>
      <c r="E7" s="9" t="n">
        <v>46270</v>
      </c>
      <c r="F7" s="9" t="n">
        <v>46280</v>
      </c>
      <c r="G7" s="9" t="n">
        <v>46279</v>
      </c>
      <c r="H7" s="3" t="n">
        <v>8</v>
      </c>
      <c r="I7" s="3" t="n">
        <v>8</v>
      </c>
      <c r="J7" s="3" t="n">
        <v>60</v>
      </c>
      <c r="K7" s="13">
        <f>IF(I7="","",I7*J7)</f>
        <v/>
      </c>
      <c r="L7">
        <f>IF(F7="","",IF(G7&lt;&gt;"",MAX(0,G7-F7),IF(TODAY()&gt;F7,TODAY()-F7,0)))</f>
        <v/>
      </c>
      <c r="M7">
        <f>IF(B7="","",IF(AND(I7&gt;1.25*H7,L7&gt;0),"Over hours + late",IF(I7&gt;1.25*H7,"Over hours",IF(L7&gt;0,"Late","On track"))))</f>
        <v/>
      </c>
    </row>
    <row r="8">
      <c r="A8" s="3" t="inlineStr">
        <is>
          <t>T-107</t>
        </is>
      </c>
      <c r="B8" s="3" t="inlineStr">
        <is>
          <t>Kestrel Logistics</t>
        </is>
      </c>
      <c r="C8" s="3" t="inlineStr">
        <is>
          <t>Change Request</t>
        </is>
      </c>
      <c r="D8" s="3" t="inlineStr">
        <is>
          <t>Open</t>
        </is>
      </c>
      <c r="E8" s="9" t="n">
        <v>46275</v>
      </c>
      <c r="F8" s="9" t="n">
        <v>46300</v>
      </c>
      <c r="G8" s="9" t="n"/>
      <c r="H8" s="3" t="n">
        <v>12</v>
      </c>
      <c r="I8" s="3" t="n">
        <v>4</v>
      </c>
      <c r="J8" s="3" t="n">
        <v>75</v>
      </c>
      <c r="K8" s="13">
        <f>IF(I8="","",I8*J8)</f>
        <v/>
      </c>
      <c r="L8">
        <f>IF(F8="","",IF(G8&lt;&gt;"",MAX(0,G8-F8),IF(TODAY()&gt;F8,TODAY()-F8,0)))</f>
        <v/>
      </c>
      <c r="M8">
        <f>IF(B8="","",IF(AND(I8&gt;1.25*H8,L8&gt;0),"Over hours + late",IF(I8&gt;1.25*H8,"Over hours",IF(L8&gt;0,"Late","On track"))))</f>
        <v/>
      </c>
    </row>
    <row r="9">
      <c r="A9" s="3" t="inlineStr">
        <is>
          <t>T-108</t>
        </is>
      </c>
      <c r="B9" s="3" t="inlineStr">
        <is>
          <t>Maple Street Bakery</t>
        </is>
      </c>
      <c r="C9" s="3" t="inlineStr">
        <is>
          <t>Support</t>
        </is>
      </c>
      <c r="D9" s="3" t="inlineStr">
        <is>
          <t>Closed</t>
        </is>
      </c>
      <c r="E9" s="9" t="n">
        <v>46276</v>
      </c>
      <c r="F9" s="9" t="n">
        <v>46278</v>
      </c>
      <c r="G9" s="9" t="n">
        <v>46278</v>
      </c>
      <c r="H9" s="3" t="n">
        <v>1</v>
      </c>
      <c r="I9" s="3" t="n">
        <v>1</v>
      </c>
      <c r="J9" s="3" t="n">
        <v>60</v>
      </c>
      <c r="K9" s="13">
        <f>IF(I9="","",I9*J9)</f>
        <v/>
      </c>
      <c r="L9">
        <f>IF(F9="","",IF(G9&lt;&gt;"",MAX(0,G9-F9),IF(TODAY()&gt;F9,TODAY()-F9,0)))</f>
        <v/>
      </c>
      <c r="M9">
        <f>IF(B9="","",IF(AND(I9&gt;1.25*H9,L9&gt;0),"Over hours + late",IF(I9&gt;1.25*H9,"Over hours",IF(L9&gt;0,"Late","On track"))))</f>
        <v/>
      </c>
    </row>
    <row r="10">
      <c r="A10" s="3" t="inlineStr">
        <is>
          <t>T-109</t>
        </is>
      </c>
      <c r="B10" s="3" t="inlineStr">
        <is>
          <t>Alder &amp; Finch LLP</t>
        </is>
      </c>
      <c r="C10" s="3" t="inlineStr">
        <is>
          <t>Billing</t>
        </is>
      </c>
      <c r="D10" s="3" t="inlineStr">
        <is>
          <t>Open</t>
        </is>
      </c>
      <c r="E10" s="9" t="n">
        <v>46279</v>
      </c>
      <c r="F10" s="9" t="n">
        <v>46286</v>
      </c>
      <c r="G10" s="9" t="n"/>
      <c r="H10" s="3" t="n">
        <v>2</v>
      </c>
      <c r="I10" s="3" t="n">
        <v>2.5</v>
      </c>
      <c r="J10" s="3" t="n">
        <v>60</v>
      </c>
      <c r="K10" s="13">
        <f>IF(I10="","",I10*J10)</f>
        <v/>
      </c>
      <c r="L10">
        <f>IF(F10="","",IF(G10&lt;&gt;"",MAX(0,G10-F10),IF(TODAY()&gt;F10,TODAY()-F10,0)))</f>
        <v/>
      </c>
      <c r="M10">
        <f>IF(B10="","",IF(AND(I10&gt;1.25*H10,L10&gt;0),"Over hours + late",IF(I10&gt;1.25*H10,"Over hours",IF(L10&gt;0,"Late","On track"))))</f>
        <v/>
      </c>
    </row>
    <row r="11">
      <c r="A11" s="3" t="inlineStr">
        <is>
          <t>T-110</t>
        </is>
      </c>
      <c r="B11" s="3" t="inlineStr">
        <is>
          <t>Maple Street Bakery</t>
        </is>
      </c>
      <c r="C11" s="3" t="inlineStr">
        <is>
          <t>Onboarding</t>
        </is>
      </c>
      <c r="D11" s="3" t="inlineStr">
        <is>
          <t>Open</t>
        </is>
      </c>
      <c r="E11" s="9" t="n">
        <v>46283</v>
      </c>
      <c r="F11" s="9" t="n">
        <v>46295</v>
      </c>
      <c r="G11" s="9" t="n"/>
      <c r="H11" s="3" t="n">
        <v>6</v>
      </c>
      <c r="I11" s="3" t="n">
        <v>2</v>
      </c>
      <c r="J11" s="3" t="n">
        <v>60</v>
      </c>
      <c r="K11" s="13">
        <f>IF(I11="","",I11*J11)</f>
        <v/>
      </c>
      <c r="L11">
        <f>IF(F11="","",IF(G11&lt;&gt;"",MAX(0,G11-F11),IF(TODAY()&gt;F11,TODAY()-F11,0)))</f>
        <v/>
      </c>
      <c r="M11">
        <f>IF(B11="","",IF(AND(I11&gt;1.25*H11,L11&gt;0),"Over hours + late",IF(I11&gt;1.25*H11,"Over hours",IF(L11&gt;0,"Late","On track"))))</f>
        <v/>
      </c>
    </row>
    <row r="12">
      <c r="A12" s="3" t="inlineStr">
        <is>
          <t>T-111</t>
        </is>
      </c>
      <c r="B12" s="3" t="inlineStr">
        <is>
          <t>Northwind Foods</t>
        </is>
      </c>
      <c r="C12" s="3" t="inlineStr">
        <is>
          <t>Support</t>
        </is>
      </c>
      <c r="D12" s="3" t="inlineStr">
        <is>
          <t>Resolved</t>
        </is>
      </c>
      <c r="E12" s="9" t="n">
        <v>46284</v>
      </c>
      <c r="F12" s="9" t="n">
        <v>46287</v>
      </c>
      <c r="G12" s="9" t="n">
        <v>46287</v>
      </c>
      <c r="H12" s="3" t="n">
        <v>2</v>
      </c>
      <c r="I12" s="3" t="n">
        <v>1.5</v>
      </c>
      <c r="J12" s="3" t="n">
        <v>60</v>
      </c>
      <c r="K12" s="13">
        <f>IF(I12="","",I12*J12)</f>
        <v/>
      </c>
      <c r="L12">
        <f>IF(F12="","",IF(G12&lt;&gt;"",MAX(0,G12-F12),IF(TODAY()&gt;F12,TODAY()-F12,0)))</f>
        <v/>
      </c>
      <c r="M12">
        <f>IF(B12="","",IF(AND(I12&gt;1.25*H12,L12&gt;0),"Over hours + late",IF(I12&gt;1.25*H12,"Over hours",IF(L12&gt;0,"Late","On track"))))</f>
        <v/>
      </c>
    </row>
    <row r="13">
      <c r="A13" s="3" t="inlineStr">
        <is>
          <t>T-112</t>
        </is>
      </c>
      <c r="B13" s="3" t="inlineStr">
        <is>
          <t>Kestrel Logistics</t>
        </is>
      </c>
      <c r="C13" s="3" t="inlineStr">
        <is>
          <t>Support</t>
        </is>
      </c>
      <c r="D13" s="3" t="inlineStr">
        <is>
          <t>Waiting Client</t>
        </is>
      </c>
      <c r="E13" s="9" t="n">
        <v>46285</v>
      </c>
      <c r="F13" s="9" t="n">
        <v>46289</v>
      </c>
      <c r="G13" s="9" t="n"/>
      <c r="H13" s="3" t="n">
        <v>2</v>
      </c>
      <c r="I13" s="3" t="n">
        <v>1</v>
      </c>
      <c r="J13" s="3" t="n">
        <v>60</v>
      </c>
      <c r="K13" s="13">
        <f>IF(I13="","",I13*J13)</f>
        <v/>
      </c>
      <c r="L13">
        <f>IF(F13="","",IF(G13&lt;&gt;"",MAX(0,G13-F13),IF(TODAY()&gt;F13,TODAY()-F13,0)))</f>
        <v/>
      </c>
      <c r="M13">
        <f>IF(B13="","",IF(AND(I13&gt;1.25*H13,L13&gt;0),"Over hours + late",IF(I13&gt;1.25*H13,"Over hours",IF(L13&gt;0,"Late","On track"))))</f>
        <v/>
      </c>
    </row>
    <row r="14">
      <c r="E14" s="12" t="n"/>
      <c r="F14" s="12" t="n"/>
      <c r="G14" s="12" t="n"/>
      <c r="K14" s="13">
        <f>IF(I14="","",I14*J14)</f>
        <v/>
      </c>
      <c r="L14">
        <f>IF(F14="","",IF(G14&lt;&gt;"",MAX(0,G14-F14),IF(TODAY()&gt;F14,TODAY()-F14,0)))</f>
        <v/>
      </c>
      <c r="M14">
        <f>IF(B14="","",IF(AND(I14&gt;1.25*H14,L14&gt;0),"Over hours + late",IF(I14&gt;1.25*H14,"Over hours",IF(L14&gt;0,"Late","On track"))))</f>
        <v/>
      </c>
    </row>
    <row r="15">
      <c r="E15" s="12" t="n"/>
      <c r="F15" s="12" t="n"/>
      <c r="G15" s="12" t="n"/>
      <c r="K15" s="13">
        <f>IF(I15="","",I15*J15)</f>
        <v/>
      </c>
      <c r="L15">
        <f>IF(F15="","",IF(G15&lt;&gt;"",MAX(0,G15-F15),IF(TODAY()&gt;F15,TODAY()-F15,0)))</f>
        <v/>
      </c>
      <c r="M15">
        <f>IF(B15="","",IF(AND(I15&gt;1.25*H15,L15&gt;0),"Over hours + late",IF(I15&gt;1.25*H15,"Over hours",IF(L15&gt;0,"Late","On track"))))</f>
        <v/>
      </c>
    </row>
    <row r="16">
      <c r="E16" s="12" t="n"/>
      <c r="F16" s="12" t="n"/>
      <c r="G16" s="12" t="n"/>
      <c r="K16" s="13">
        <f>IF(I16="","",I16*J16)</f>
        <v/>
      </c>
      <c r="L16">
        <f>IF(F16="","",IF(G16&lt;&gt;"",MAX(0,G16-F16),IF(TODAY()&gt;F16,TODAY()-F16,0)))</f>
        <v/>
      </c>
      <c r="M16">
        <f>IF(B16="","",IF(AND(I16&gt;1.25*H16,L16&gt;0),"Over hours + late",IF(I16&gt;1.25*H16,"Over hours",IF(L16&gt;0,"Late","On track"))))</f>
        <v/>
      </c>
    </row>
    <row r="17">
      <c r="E17" s="12" t="n"/>
      <c r="F17" s="12" t="n"/>
      <c r="G17" s="12" t="n"/>
      <c r="K17" s="13">
        <f>IF(I17="","",I17*J17)</f>
        <v/>
      </c>
      <c r="L17">
        <f>IF(F17="","",IF(G17&lt;&gt;"",MAX(0,G17-F17),IF(TODAY()&gt;F17,TODAY()-F17,0)))</f>
        <v/>
      </c>
      <c r="M17">
        <f>IF(B17="","",IF(AND(I17&gt;1.25*H17,L17&gt;0),"Over hours + late",IF(I17&gt;1.25*H17,"Over hours",IF(L17&gt;0,"Late","On track"))))</f>
        <v/>
      </c>
    </row>
    <row r="18">
      <c r="E18" s="12" t="n"/>
      <c r="F18" s="12" t="n"/>
      <c r="G18" s="12" t="n"/>
      <c r="K18" s="13">
        <f>IF(I18="","",I18*J18)</f>
        <v/>
      </c>
      <c r="L18">
        <f>IF(F18="","",IF(G18&lt;&gt;"",MAX(0,G18-F18),IF(TODAY()&gt;F18,TODAY()-F18,0)))</f>
        <v/>
      </c>
      <c r="M18">
        <f>IF(B18="","",IF(AND(I18&gt;1.25*H18,L18&gt;0),"Over hours + late",IF(I18&gt;1.25*H18,"Over hours",IF(L18&gt;0,"Late","On track"))))</f>
        <v/>
      </c>
    </row>
    <row r="19">
      <c r="E19" s="12" t="n"/>
      <c r="F19" s="12" t="n"/>
      <c r="G19" s="12" t="n"/>
      <c r="K19" s="13">
        <f>IF(I19="","",I19*J19)</f>
        <v/>
      </c>
      <c r="L19">
        <f>IF(F19="","",IF(G19&lt;&gt;"",MAX(0,G19-F19),IF(TODAY()&gt;F19,TODAY()-F19,0)))</f>
        <v/>
      </c>
      <c r="M19">
        <f>IF(B19="","",IF(AND(I19&gt;1.25*H19,L19&gt;0),"Over hours + late",IF(I19&gt;1.25*H19,"Over hours",IF(L19&gt;0,"Late","On track"))))</f>
        <v/>
      </c>
    </row>
    <row r="20">
      <c r="E20" s="12" t="n"/>
      <c r="F20" s="12" t="n"/>
      <c r="G20" s="12" t="n"/>
      <c r="K20" s="13">
        <f>IF(I20="","",I20*J20)</f>
        <v/>
      </c>
      <c r="L20">
        <f>IF(F20="","",IF(G20&lt;&gt;"",MAX(0,G20-F20),IF(TODAY()&gt;F20,TODAY()-F20,0)))</f>
        <v/>
      </c>
      <c r="M20">
        <f>IF(B20="","",IF(AND(I20&gt;1.25*H20,L20&gt;0),"Over hours + late",IF(I20&gt;1.25*H20,"Over hours",IF(L20&gt;0,"Late","On track"))))</f>
        <v/>
      </c>
    </row>
    <row r="21">
      <c r="E21" s="12" t="n"/>
      <c r="F21" s="12" t="n"/>
      <c r="G21" s="12" t="n"/>
      <c r="K21" s="13">
        <f>IF(I21="","",I21*J21)</f>
        <v/>
      </c>
      <c r="L21">
        <f>IF(F21="","",IF(G21&lt;&gt;"",MAX(0,G21-F21),IF(TODAY()&gt;F21,TODAY()-F21,0)))</f>
        <v/>
      </c>
      <c r="M21">
        <f>IF(B21="","",IF(AND(I21&gt;1.25*H21,L21&gt;0),"Over hours + late",IF(I21&gt;1.25*H21,"Over hours",IF(L21&gt;0,"Late","On track"))))</f>
        <v/>
      </c>
    </row>
    <row r="22">
      <c r="E22" s="12" t="n"/>
      <c r="F22" s="12" t="n"/>
      <c r="G22" s="12" t="n"/>
      <c r="K22" s="13">
        <f>IF(I22="","",I22*J22)</f>
        <v/>
      </c>
      <c r="L22">
        <f>IF(F22="","",IF(G22&lt;&gt;"",MAX(0,G22-F22),IF(TODAY()&gt;F22,TODAY()-F22,0)))</f>
        <v/>
      </c>
      <c r="M22">
        <f>IF(B22="","",IF(AND(I22&gt;1.25*H22,L22&gt;0),"Over hours + late",IF(I22&gt;1.25*H22,"Over hours",IF(L22&gt;0,"Late","On track"))))</f>
        <v/>
      </c>
    </row>
    <row r="23">
      <c r="E23" s="12" t="n"/>
      <c r="F23" s="12" t="n"/>
      <c r="G23" s="12" t="n"/>
      <c r="K23" s="13">
        <f>IF(I23="","",I23*J23)</f>
        <v/>
      </c>
      <c r="L23">
        <f>IF(F23="","",IF(G23&lt;&gt;"",MAX(0,G23-F23),IF(TODAY()&gt;F23,TODAY()-F23,0)))</f>
        <v/>
      </c>
      <c r="M23">
        <f>IF(B23="","",IF(AND(I23&gt;1.25*H23,L23&gt;0),"Over hours + late",IF(I23&gt;1.25*H23,"Over hours",IF(L23&gt;0,"Late","On track"))))</f>
        <v/>
      </c>
    </row>
    <row r="24">
      <c r="E24" s="12" t="n"/>
      <c r="F24" s="12" t="n"/>
      <c r="G24" s="12" t="n"/>
      <c r="K24" s="13">
        <f>IF(I24="","",I24*J24)</f>
        <v/>
      </c>
      <c r="L24">
        <f>IF(F24="","",IF(G24&lt;&gt;"",MAX(0,G24-F24),IF(TODAY()&gt;F24,TODAY()-F24,0)))</f>
        <v/>
      </c>
      <c r="M24">
        <f>IF(B24="","",IF(AND(I24&gt;1.25*H24,L24&gt;0),"Over hours + late",IF(I24&gt;1.25*H24,"Over hours",IF(L24&gt;0,"Late","On track"))))</f>
        <v/>
      </c>
    </row>
    <row r="25">
      <c r="E25" s="12" t="n"/>
      <c r="F25" s="12" t="n"/>
      <c r="G25" s="12" t="n"/>
      <c r="K25" s="13">
        <f>IF(I25="","",I25*J25)</f>
        <v/>
      </c>
      <c r="L25">
        <f>IF(F25="","",IF(G25&lt;&gt;"",MAX(0,G25-F25),IF(TODAY()&gt;F25,TODAY()-F25,0)))</f>
        <v/>
      </c>
      <c r="M25">
        <f>IF(B25="","",IF(AND(I25&gt;1.25*H25,L25&gt;0),"Over hours + late",IF(I25&gt;1.25*H25,"Over hours",IF(L25&gt;0,"Late","On track"))))</f>
        <v/>
      </c>
    </row>
    <row r="26">
      <c r="E26" s="12" t="n"/>
      <c r="F26" s="12" t="n"/>
      <c r="G26" s="12" t="n"/>
      <c r="K26" s="13">
        <f>IF(I26="","",I26*J26)</f>
        <v/>
      </c>
      <c r="L26">
        <f>IF(F26="","",IF(G26&lt;&gt;"",MAX(0,G26-F26),IF(TODAY()&gt;F26,TODAY()-F26,0)))</f>
        <v/>
      </c>
      <c r="M26">
        <f>IF(B26="","",IF(AND(I26&gt;1.25*H26,L26&gt;0),"Over hours + late",IF(I26&gt;1.25*H26,"Over hours",IF(L26&gt;0,"Late","On track"))))</f>
        <v/>
      </c>
    </row>
    <row r="27">
      <c r="E27" s="12" t="n"/>
      <c r="F27" s="12" t="n"/>
      <c r="G27" s="12" t="n"/>
      <c r="K27" s="13">
        <f>IF(I27="","",I27*J27)</f>
        <v/>
      </c>
      <c r="L27">
        <f>IF(F27="","",IF(G27&lt;&gt;"",MAX(0,G27-F27),IF(TODAY()&gt;F27,TODAY()-F27,0)))</f>
        <v/>
      </c>
      <c r="M27">
        <f>IF(B27="","",IF(AND(I27&gt;1.25*H27,L27&gt;0),"Over hours + late",IF(I27&gt;1.25*H27,"Over hours",IF(L27&gt;0,"Late","On track"))))</f>
        <v/>
      </c>
    </row>
    <row r="28">
      <c r="E28" s="12" t="n"/>
      <c r="F28" s="12" t="n"/>
      <c r="G28" s="12" t="n"/>
      <c r="K28" s="13">
        <f>IF(I28="","",I28*J28)</f>
        <v/>
      </c>
      <c r="L28">
        <f>IF(F28="","",IF(G28&lt;&gt;"",MAX(0,G28-F28),IF(TODAY()&gt;F28,TODAY()-F28,0)))</f>
        <v/>
      </c>
      <c r="M28">
        <f>IF(B28="","",IF(AND(I28&gt;1.25*H28,L28&gt;0),"Over hours + late",IF(I28&gt;1.25*H28,"Over hours",IF(L28&gt;0,"Late","On track"))))</f>
        <v/>
      </c>
    </row>
    <row r="29">
      <c r="E29" s="12" t="n"/>
      <c r="F29" s="12" t="n"/>
      <c r="G29" s="12" t="n"/>
      <c r="K29" s="13">
        <f>IF(I29="","",I29*J29)</f>
        <v/>
      </c>
      <c r="L29">
        <f>IF(F29="","",IF(G29&lt;&gt;"",MAX(0,G29-F29),IF(TODAY()&gt;F29,TODAY()-F29,0)))</f>
        <v/>
      </c>
      <c r="M29">
        <f>IF(B29="","",IF(AND(I29&gt;1.25*H29,L29&gt;0),"Over hours + late",IF(I29&gt;1.25*H29,"Over hours",IF(L29&gt;0,"Late","On track"))))</f>
        <v/>
      </c>
    </row>
    <row r="30">
      <c r="E30" s="12" t="n"/>
      <c r="F30" s="12" t="n"/>
      <c r="G30" s="12" t="n"/>
      <c r="K30" s="13">
        <f>IF(I30="","",I30*J30)</f>
        <v/>
      </c>
      <c r="L30">
        <f>IF(F30="","",IF(G30&lt;&gt;"",MAX(0,G30-F30),IF(TODAY()&gt;F30,TODAY()-F30,0)))</f>
        <v/>
      </c>
      <c r="M30">
        <f>IF(B30="","",IF(AND(I30&gt;1.25*H30,L30&gt;0),"Over hours + late",IF(I30&gt;1.25*H30,"Over hours",IF(L30&gt;0,"Late","On track"))))</f>
        <v/>
      </c>
    </row>
    <row r="31">
      <c r="E31" s="12" t="n"/>
      <c r="F31" s="12" t="n"/>
      <c r="G31" s="12" t="n"/>
      <c r="K31" s="13">
        <f>IF(I31="","",I31*J31)</f>
        <v/>
      </c>
      <c r="L31">
        <f>IF(F31="","",IF(G31&lt;&gt;"",MAX(0,G31-F31),IF(TODAY()&gt;F31,TODAY()-F31,0)))</f>
        <v/>
      </c>
      <c r="M31">
        <f>IF(B31="","",IF(AND(I31&gt;1.25*H31,L31&gt;0),"Over hours + late",IF(I31&gt;1.25*H31,"Over hours",IF(L31&gt;0,"Late","On track"))))</f>
        <v/>
      </c>
    </row>
    <row r="32">
      <c r="E32" s="12" t="n"/>
      <c r="F32" s="12" t="n"/>
      <c r="G32" s="12" t="n"/>
      <c r="K32" s="13">
        <f>IF(I32="","",I32*J32)</f>
        <v/>
      </c>
      <c r="L32">
        <f>IF(F32="","",IF(G32&lt;&gt;"",MAX(0,G32-F32),IF(TODAY()&gt;F32,TODAY()-F32,0)))</f>
        <v/>
      </c>
      <c r="M32">
        <f>IF(B32="","",IF(AND(I32&gt;1.25*H32,L32&gt;0),"Over hours + late",IF(I32&gt;1.25*H32,"Over hours",IF(L32&gt;0,"Late","On track"))))</f>
        <v/>
      </c>
    </row>
    <row r="33">
      <c r="E33" s="12" t="n"/>
      <c r="F33" s="12" t="n"/>
      <c r="G33" s="12" t="n"/>
      <c r="K33" s="13">
        <f>IF(I33="","",I33*J33)</f>
        <v/>
      </c>
      <c r="L33">
        <f>IF(F33="","",IF(G33&lt;&gt;"",MAX(0,G33-F33),IF(TODAY()&gt;F33,TODAY()-F33,0)))</f>
        <v/>
      </c>
      <c r="M33">
        <f>IF(B33="","",IF(AND(I33&gt;1.25*H33,L33&gt;0),"Over hours + late",IF(I33&gt;1.25*H33,"Over hours",IF(L33&gt;0,"Late","On track"))))</f>
        <v/>
      </c>
    </row>
    <row r="34">
      <c r="E34" s="12" t="n"/>
      <c r="F34" s="12" t="n"/>
      <c r="G34" s="12" t="n"/>
      <c r="K34" s="13">
        <f>IF(I34="","",I34*J34)</f>
        <v/>
      </c>
      <c r="L34">
        <f>IF(F34="","",IF(G34&lt;&gt;"",MAX(0,G34-F34),IF(TODAY()&gt;F34,TODAY()-F34,0)))</f>
        <v/>
      </c>
      <c r="M34">
        <f>IF(B34="","",IF(AND(I34&gt;1.25*H34,L34&gt;0),"Over hours + late",IF(I34&gt;1.25*H34,"Over hours",IF(L34&gt;0,"Late","On track"))))</f>
        <v/>
      </c>
    </row>
    <row r="35">
      <c r="E35" s="12" t="n"/>
      <c r="F35" s="12" t="n"/>
      <c r="G35" s="12" t="n"/>
      <c r="K35" s="13">
        <f>IF(I35="","",I35*J35)</f>
        <v/>
      </c>
      <c r="L35">
        <f>IF(F35="","",IF(G35&lt;&gt;"",MAX(0,G35-F35),IF(TODAY()&gt;F35,TODAY()-F35,0)))</f>
        <v/>
      </c>
      <c r="M35">
        <f>IF(B35="","",IF(AND(I35&gt;1.25*H35,L35&gt;0),"Over hours + late",IF(I35&gt;1.25*H35,"Over hours",IF(L35&gt;0,"Late","On track"))))</f>
        <v/>
      </c>
    </row>
    <row r="36">
      <c r="E36" s="12" t="n"/>
      <c r="F36" s="12" t="n"/>
      <c r="G36" s="12" t="n"/>
      <c r="K36" s="13">
        <f>IF(I36="","",I36*J36)</f>
        <v/>
      </c>
      <c r="L36">
        <f>IF(F36="","",IF(G36&lt;&gt;"",MAX(0,G36-F36),IF(TODAY()&gt;F36,TODAY()-F36,0)))</f>
        <v/>
      </c>
      <c r="M36">
        <f>IF(B36="","",IF(AND(I36&gt;1.25*H36,L36&gt;0),"Over hours + late",IF(I36&gt;1.25*H36,"Over hours",IF(L36&gt;0,"Late","On track"))))</f>
        <v/>
      </c>
    </row>
    <row r="37">
      <c r="E37" s="12" t="n"/>
      <c r="F37" s="12" t="n"/>
      <c r="G37" s="12" t="n"/>
      <c r="K37" s="13">
        <f>IF(I37="","",I37*J37)</f>
        <v/>
      </c>
      <c r="L37">
        <f>IF(F37="","",IF(G37&lt;&gt;"",MAX(0,G37-F37),IF(TODAY()&gt;F37,TODAY()-F37,0)))</f>
        <v/>
      </c>
      <c r="M37">
        <f>IF(B37="","",IF(AND(I37&gt;1.25*H37,L37&gt;0),"Over hours + late",IF(I37&gt;1.25*H37,"Over hours",IF(L37&gt;0,"Late","On track"))))</f>
        <v/>
      </c>
    </row>
    <row r="38">
      <c r="E38" s="12" t="n"/>
      <c r="F38" s="12" t="n"/>
      <c r="G38" s="12" t="n"/>
      <c r="K38" s="13">
        <f>IF(I38="","",I38*J38)</f>
        <v/>
      </c>
      <c r="L38">
        <f>IF(F38="","",IF(G38&lt;&gt;"",MAX(0,G38-F38),IF(TODAY()&gt;F38,TODAY()-F38,0)))</f>
        <v/>
      </c>
      <c r="M38">
        <f>IF(B38="","",IF(AND(I38&gt;1.25*H38,L38&gt;0),"Over hours + late",IF(I38&gt;1.25*H38,"Over hours",IF(L38&gt;0,"Late","On track"))))</f>
        <v/>
      </c>
    </row>
    <row r="39">
      <c r="E39" s="12" t="n"/>
      <c r="F39" s="12" t="n"/>
      <c r="G39" s="12" t="n"/>
      <c r="K39" s="13">
        <f>IF(I39="","",I39*J39)</f>
        <v/>
      </c>
      <c r="L39">
        <f>IF(F39="","",IF(G39&lt;&gt;"",MAX(0,G39-F39),IF(TODAY()&gt;F39,TODAY()-F39,0)))</f>
        <v/>
      </c>
      <c r="M39">
        <f>IF(B39="","",IF(AND(I39&gt;1.25*H39,L39&gt;0),"Over hours + late",IF(I39&gt;1.25*H39,"Over hours",IF(L39&gt;0,"Late","On track"))))</f>
        <v/>
      </c>
    </row>
    <row r="40">
      <c r="E40" s="12" t="n"/>
      <c r="F40" s="12" t="n"/>
      <c r="G40" s="12" t="n"/>
      <c r="K40" s="13">
        <f>IF(I40="","",I40*J40)</f>
        <v/>
      </c>
      <c r="L40">
        <f>IF(F40="","",IF(G40&lt;&gt;"",MAX(0,G40-F40),IF(TODAY()&gt;F40,TODAY()-F40,0)))</f>
        <v/>
      </c>
      <c r="M40">
        <f>IF(B40="","",IF(AND(I40&gt;1.25*H40,L40&gt;0),"Over hours + late",IF(I40&gt;1.25*H40,"Over hours",IF(L40&gt;0,"Late","On track"))))</f>
        <v/>
      </c>
    </row>
    <row r="41">
      <c r="E41" s="12" t="n"/>
      <c r="F41" s="12" t="n"/>
      <c r="G41" s="12" t="n"/>
      <c r="K41" s="13">
        <f>IF(I41="","",I41*J41)</f>
        <v/>
      </c>
      <c r="L41">
        <f>IF(F41="","",IF(G41&lt;&gt;"",MAX(0,G41-F41),IF(TODAY()&gt;F41,TODAY()-F41,0)))</f>
        <v/>
      </c>
      <c r="M41">
        <f>IF(B41="","",IF(AND(I41&gt;1.25*H41,L41&gt;0),"Over hours + late",IF(I41&gt;1.25*H41,"Over hours",IF(L41&gt;0,"Late","On track"))))</f>
        <v/>
      </c>
    </row>
    <row r="42">
      <c r="E42" s="12" t="n"/>
      <c r="F42" s="12" t="n"/>
      <c r="G42" s="12" t="n"/>
      <c r="K42" s="13">
        <f>IF(I42="","",I42*J42)</f>
        <v/>
      </c>
      <c r="L42">
        <f>IF(F42="","",IF(G42&lt;&gt;"",MAX(0,G42-F42),IF(TODAY()&gt;F42,TODAY()-F42,0)))</f>
        <v/>
      </c>
      <c r="M42">
        <f>IF(B42="","",IF(AND(I42&gt;1.25*H42,L42&gt;0),"Over hours + late",IF(I42&gt;1.25*H42,"Over hours",IF(L42&gt;0,"Late","On track"))))</f>
        <v/>
      </c>
    </row>
    <row r="43">
      <c r="E43" s="12" t="n"/>
      <c r="F43" s="12" t="n"/>
      <c r="G43" s="12" t="n"/>
      <c r="K43" s="13">
        <f>IF(I43="","",I43*J43)</f>
        <v/>
      </c>
      <c r="L43">
        <f>IF(F43="","",IF(G43&lt;&gt;"",MAX(0,G43-F43),IF(TODAY()&gt;F43,TODAY()-F43,0)))</f>
        <v/>
      </c>
      <c r="M43">
        <f>IF(B43="","",IF(AND(I43&gt;1.25*H43,L43&gt;0),"Over hours + late",IF(I43&gt;1.25*H43,"Over hours",IF(L43&gt;0,"Late","On track"))))</f>
        <v/>
      </c>
    </row>
    <row r="44">
      <c r="E44" s="12" t="n"/>
      <c r="F44" s="12" t="n"/>
      <c r="G44" s="12" t="n"/>
      <c r="K44" s="13">
        <f>IF(I44="","",I44*J44)</f>
        <v/>
      </c>
      <c r="L44">
        <f>IF(F44="","",IF(G44&lt;&gt;"",MAX(0,G44-F44),IF(TODAY()&gt;F44,TODAY()-F44,0)))</f>
        <v/>
      </c>
      <c r="M44">
        <f>IF(B44="","",IF(AND(I44&gt;1.25*H44,L44&gt;0),"Over hours + late",IF(I44&gt;1.25*H44,"Over hours",IF(L44&gt;0,"Late","On track"))))</f>
        <v/>
      </c>
    </row>
    <row r="45">
      <c r="E45" s="12" t="n"/>
      <c r="F45" s="12" t="n"/>
      <c r="G45" s="12" t="n"/>
      <c r="K45" s="13">
        <f>IF(I45="","",I45*J45)</f>
        <v/>
      </c>
      <c r="L45">
        <f>IF(F45="","",IF(G45&lt;&gt;"",MAX(0,G45-F45),IF(TODAY()&gt;F45,TODAY()-F45,0)))</f>
        <v/>
      </c>
      <c r="M45">
        <f>IF(B45="","",IF(AND(I45&gt;1.25*H45,L45&gt;0),"Over hours + late",IF(I45&gt;1.25*H45,"Over hours",IF(L45&gt;0,"Late","On track"))))</f>
        <v/>
      </c>
    </row>
    <row r="46">
      <c r="E46" s="12" t="n"/>
      <c r="F46" s="12" t="n"/>
      <c r="G46" s="12" t="n"/>
      <c r="K46" s="13">
        <f>IF(I46="","",I46*J46)</f>
        <v/>
      </c>
      <c r="L46">
        <f>IF(F46="","",IF(G46&lt;&gt;"",MAX(0,G46-F46),IF(TODAY()&gt;F46,TODAY()-F46,0)))</f>
        <v/>
      </c>
      <c r="M46">
        <f>IF(B46="","",IF(AND(I46&gt;1.25*H46,L46&gt;0),"Over hours + late",IF(I46&gt;1.25*H46,"Over hours",IF(L46&gt;0,"Late","On track"))))</f>
        <v/>
      </c>
    </row>
    <row r="47">
      <c r="E47" s="12" t="n"/>
      <c r="F47" s="12" t="n"/>
      <c r="G47" s="12" t="n"/>
      <c r="K47" s="13">
        <f>IF(I47="","",I47*J47)</f>
        <v/>
      </c>
      <c r="L47">
        <f>IF(F47="","",IF(G47&lt;&gt;"",MAX(0,G47-F47),IF(TODAY()&gt;F47,TODAY()-F47,0)))</f>
        <v/>
      </c>
      <c r="M47">
        <f>IF(B47="","",IF(AND(I47&gt;1.25*H47,L47&gt;0),"Over hours + late",IF(I47&gt;1.25*H47,"Over hours",IF(L47&gt;0,"Late","On track"))))</f>
        <v/>
      </c>
    </row>
    <row r="48">
      <c r="E48" s="12" t="n"/>
      <c r="F48" s="12" t="n"/>
      <c r="G48" s="12" t="n"/>
      <c r="K48" s="13">
        <f>IF(I48="","",I48*J48)</f>
        <v/>
      </c>
      <c r="L48">
        <f>IF(F48="","",IF(G48&lt;&gt;"",MAX(0,G48-F48),IF(TODAY()&gt;F48,TODAY()-F48,0)))</f>
        <v/>
      </c>
      <c r="M48">
        <f>IF(B48="","",IF(AND(I48&gt;1.25*H48,L48&gt;0),"Over hours + late",IF(I48&gt;1.25*H48,"Over hours",IF(L48&gt;0,"Late","On track"))))</f>
        <v/>
      </c>
    </row>
    <row r="49">
      <c r="E49" s="12" t="n"/>
      <c r="F49" s="12" t="n"/>
      <c r="G49" s="12" t="n"/>
      <c r="K49" s="13">
        <f>IF(I49="","",I49*J49)</f>
        <v/>
      </c>
      <c r="L49">
        <f>IF(F49="","",IF(G49&lt;&gt;"",MAX(0,G49-F49),IF(TODAY()&gt;F49,TODAY()-F49,0)))</f>
        <v/>
      </c>
      <c r="M49">
        <f>IF(B49="","",IF(AND(I49&gt;1.25*H49,L49&gt;0),"Over hours + late",IF(I49&gt;1.25*H49,"Over hours",IF(L49&gt;0,"Late","On track"))))</f>
        <v/>
      </c>
    </row>
    <row r="50">
      <c r="E50" s="12" t="n"/>
      <c r="F50" s="12" t="n"/>
      <c r="G50" s="12" t="n"/>
      <c r="K50" s="13">
        <f>IF(I50="","",I50*J50)</f>
        <v/>
      </c>
      <c r="L50">
        <f>IF(F50="","",IF(G50&lt;&gt;"",MAX(0,G50-F50),IF(TODAY()&gt;F50,TODAY()-F50,0)))</f>
        <v/>
      </c>
      <c r="M50">
        <f>IF(B50="","",IF(AND(I50&gt;1.25*H50,L50&gt;0),"Over hours + late",IF(I50&gt;1.25*H50,"Over hours",IF(L50&gt;0,"Late","On track"))))</f>
        <v/>
      </c>
    </row>
    <row r="51">
      <c r="E51" s="12" t="n"/>
      <c r="F51" s="12" t="n"/>
      <c r="G51" s="12" t="n"/>
      <c r="K51" s="13">
        <f>IF(I51="","",I51*J51)</f>
        <v/>
      </c>
      <c r="L51">
        <f>IF(F51="","",IF(G51&lt;&gt;"",MAX(0,G51-F51),IF(TODAY()&gt;F51,TODAY()-F51,0)))</f>
        <v/>
      </c>
      <c r="M51">
        <f>IF(B51="","",IF(AND(I51&gt;1.25*H51,L51&gt;0),"Over hours + late",IF(I51&gt;1.25*H51,"Over hours",IF(L51&gt;0,"Late","On track"))))</f>
        <v/>
      </c>
    </row>
    <row r="52">
      <c r="E52" s="12" t="n"/>
      <c r="F52" s="12" t="n"/>
      <c r="G52" s="12" t="n"/>
      <c r="K52" s="13">
        <f>IF(I52="","",I52*J52)</f>
        <v/>
      </c>
      <c r="L52">
        <f>IF(F52="","",IF(G52&lt;&gt;"",MAX(0,G52-F52),IF(TODAY()&gt;F52,TODAY()-F52,0)))</f>
        <v/>
      </c>
      <c r="M52">
        <f>IF(B52="","",IF(AND(I52&gt;1.25*H52,L52&gt;0),"Over hours + late",IF(I52&gt;1.25*H52,"Over hours",IF(L52&gt;0,"Late","On track"))))</f>
        <v/>
      </c>
    </row>
    <row r="53">
      <c r="E53" s="12" t="n"/>
      <c r="F53" s="12" t="n"/>
      <c r="G53" s="12" t="n"/>
      <c r="K53" s="13">
        <f>IF(I53="","",I53*J53)</f>
        <v/>
      </c>
      <c r="L53">
        <f>IF(F53="","",IF(G53&lt;&gt;"",MAX(0,G53-F53),IF(TODAY()&gt;F53,TODAY()-F53,0)))</f>
        <v/>
      </c>
      <c r="M53">
        <f>IF(B53="","",IF(AND(I53&gt;1.25*H53,L53&gt;0),"Over hours + late",IF(I53&gt;1.25*H53,"Over hours",IF(L53&gt;0,"Late","On track"))))</f>
        <v/>
      </c>
    </row>
    <row r="54">
      <c r="E54" s="12" t="n"/>
      <c r="F54" s="12" t="n"/>
      <c r="G54" s="12" t="n"/>
      <c r="K54" s="13">
        <f>IF(I54="","",I54*J54)</f>
        <v/>
      </c>
      <c r="L54">
        <f>IF(F54="","",IF(G54&lt;&gt;"",MAX(0,G54-F54),IF(TODAY()&gt;F54,TODAY()-F54,0)))</f>
        <v/>
      </c>
      <c r="M54">
        <f>IF(B54="","",IF(AND(I54&gt;1.25*H54,L54&gt;0),"Over hours + late",IF(I54&gt;1.25*H54,"Over hours",IF(L54&gt;0,"Late","On track"))))</f>
        <v/>
      </c>
    </row>
    <row r="55">
      <c r="E55" s="12" t="n"/>
      <c r="F55" s="12" t="n"/>
      <c r="G55" s="12" t="n"/>
      <c r="K55" s="13">
        <f>IF(I55="","",I55*J55)</f>
        <v/>
      </c>
      <c r="L55">
        <f>IF(F55="","",IF(G55&lt;&gt;"",MAX(0,G55-F55),IF(TODAY()&gt;F55,TODAY()-F55,0)))</f>
        <v/>
      </c>
      <c r="M55">
        <f>IF(B55="","",IF(AND(I55&gt;1.25*H55,L55&gt;0),"Over hours + late",IF(I55&gt;1.25*H55,"Over hours",IF(L55&gt;0,"Late","On track"))))</f>
        <v/>
      </c>
    </row>
    <row r="56">
      <c r="E56" s="12" t="n"/>
      <c r="F56" s="12" t="n"/>
      <c r="G56" s="12" t="n"/>
      <c r="K56" s="13">
        <f>IF(I56="","",I56*J56)</f>
        <v/>
      </c>
      <c r="L56">
        <f>IF(F56="","",IF(G56&lt;&gt;"",MAX(0,G56-F56),IF(TODAY()&gt;F56,TODAY()-F56,0)))</f>
        <v/>
      </c>
      <c r="M56">
        <f>IF(B56="","",IF(AND(I56&gt;1.25*H56,L56&gt;0),"Over hours + late",IF(I56&gt;1.25*H56,"Over hours",IF(L56&gt;0,"Late","On track"))))</f>
        <v/>
      </c>
    </row>
    <row r="57">
      <c r="E57" s="12" t="n"/>
      <c r="F57" s="12" t="n"/>
      <c r="G57" s="12" t="n"/>
      <c r="K57" s="13">
        <f>IF(I57="","",I57*J57)</f>
        <v/>
      </c>
      <c r="L57">
        <f>IF(F57="","",IF(G57&lt;&gt;"",MAX(0,G57-F57),IF(TODAY()&gt;F57,TODAY()-F57,0)))</f>
        <v/>
      </c>
      <c r="M57">
        <f>IF(B57="","",IF(AND(I57&gt;1.25*H57,L57&gt;0),"Over hours + late",IF(I57&gt;1.25*H57,"Over hours",IF(L57&gt;0,"Late","On track"))))</f>
        <v/>
      </c>
    </row>
    <row r="58">
      <c r="E58" s="12" t="n"/>
      <c r="F58" s="12" t="n"/>
      <c r="G58" s="12" t="n"/>
      <c r="K58" s="13">
        <f>IF(I58="","",I58*J58)</f>
        <v/>
      </c>
      <c r="L58">
        <f>IF(F58="","",IF(G58&lt;&gt;"",MAX(0,G58-F58),IF(TODAY()&gt;F58,TODAY()-F58,0)))</f>
        <v/>
      </c>
      <c r="M58">
        <f>IF(B58="","",IF(AND(I58&gt;1.25*H58,L58&gt;0),"Over hours + late",IF(I58&gt;1.25*H58,"Over hours",IF(L58&gt;0,"Late","On track"))))</f>
        <v/>
      </c>
    </row>
    <row r="59">
      <c r="E59" s="12" t="n"/>
      <c r="F59" s="12" t="n"/>
      <c r="G59" s="12" t="n"/>
      <c r="K59" s="13">
        <f>IF(I59="","",I59*J59)</f>
        <v/>
      </c>
      <c r="L59">
        <f>IF(F59="","",IF(G59&lt;&gt;"",MAX(0,G59-F59),IF(TODAY()&gt;F59,TODAY()-F59,0)))</f>
        <v/>
      </c>
      <c r="M59">
        <f>IF(B59="","",IF(AND(I59&gt;1.25*H59,L59&gt;0),"Over hours + late",IF(I59&gt;1.25*H59,"Over hours",IF(L59&gt;0,"Late","On track"))))</f>
        <v/>
      </c>
    </row>
    <row r="60">
      <c r="E60" s="12" t="n"/>
      <c r="F60" s="12" t="n"/>
      <c r="G60" s="12" t="n"/>
      <c r="K60" s="13">
        <f>IF(I60="","",I60*J60)</f>
        <v/>
      </c>
      <c r="L60">
        <f>IF(F60="","",IF(G60&lt;&gt;"",MAX(0,G60-F60),IF(TODAY()&gt;F60,TODAY()-F60,0)))</f>
        <v/>
      </c>
      <c r="M60">
        <f>IF(B60="","",IF(AND(I60&gt;1.25*H60,L60&gt;0),"Over hours + late",IF(I60&gt;1.25*H60,"Over hours",IF(L60&gt;0,"Late","On track"))))</f>
        <v/>
      </c>
    </row>
    <row r="61">
      <c r="E61" s="12" t="n"/>
      <c r="F61" s="12" t="n"/>
      <c r="G61" s="12" t="n"/>
      <c r="K61" s="13">
        <f>IF(I61="","",I61*J61)</f>
        <v/>
      </c>
      <c r="L61">
        <f>IF(F61="","",IF(G61&lt;&gt;"",MAX(0,G61-F61),IF(TODAY()&gt;F61,TODAY()-F61,0)))</f>
        <v/>
      </c>
      <c r="M61">
        <f>IF(B61="","",IF(AND(I61&gt;1.25*H61,L61&gt;0),"Over hours + late",IF(I61&gt;1.25*H61,"Over hours",IF(L61&gt;0,"Late","On track"))))</f>
        <v/>
      </c>
    </row>
    <row r="62">
      <c r="E62" s="12" t="n"/>
      <c r="F62" s="12" t="n"/>
      <c r="G62" s="12" t="n"/>
      <c r="K62" s="13">
        <f>IF(I62="","",I62*J62)</f>
        <v/>
      </c>
      <c r="L62">
        <f>IF(F62="","",IF(G62&lt;&gt;"",MAX(0,G62-F62),IF(TODAY()&gt;F62,TODAY()-F62,0)))</f>
        <v/>
      </c>
      <c r="M62">
        <f>IF(B62="","",IF(AND(I62&gt;1.25*H62,L62&gt;0),"Over hours + late",IF(I62&gt;1.25*H62,"Over hours",IF(L62&gt;0,"Late","On track"))))</f>
        <v/>
      </c>
    </row>
    <row r="63">
      <c r="E63" s="12" t="n"/>
      <c r="F63" s="12" t="n"/>
      <c r="G63" s="12" t="n"/>
      <c r="K63" s="13">
        <f>IF(I63="","",I63*J63)</f>
        <v/>
      </c>
      <c r="L63">
        <f>IF(F63="","",IF(G63&lt;&gt;"",MAX(0,G63-F63),IF(TODAY()&gt;F63,TODAY()-F63,0)))</f>
        <v/>
      </c>
      <c r="M63">
        <f>IF(B63="","",IF(AND(I63&gt;1.25*H63,L63&gt;0),"Over hours + late",IF(I63&gt;1.25*H63,"Over hours",IF(L63&gt;0,"Late","On track"))))</f>
        <v/>
      </c>
    </row>
    <row r="64">
      <c r="E64" s="12" t="n"/>
      <c r="F64" s="12" t="n"/>
      <c r="G64" s="12" t="n"/>
      <c r="K64" s="13">
        <f>IF(I64="","",I64*J64)</f>
        <v/>
      </c>
      <c r="L64">
        <f>IF(F64="","",IF(G64&lt;&gt;"",MAX(0,G64-F64),IF(TODAY()&gt;F64,TODAY()-F64,0)))</f>
        <v/>
      </c>
      <c r="M64">
        <f>IF(B64="","",IF(AND(I64&gt;1.25*H64,L64&gt;0),"Over hours + late",IF(I64&gt;1.25*H64,"Over hours",IF(L64&gt;0,"Late","On track"))))</f>
        <v/>
      </c>
    </row>
    <row r="65">
      <c r="E65" s="12" t="n"/>
      <c r="F65" s="12" t="n"/>
      <c r="G65" s="12" t="n"/>
      <c r="K65" s="13">
        <f>IF(I65="","",I65*J65)</f>
        <v/>
      </c>
      <c r="L65">
        <f>IF(F65="","",IF(G65&lt;&gt;"",MAX(0,G65-F65),IF(TODAY()&gt;F65,TODAY()-F65,0)))</f>
        <v/>
      </c>
      <c r="M65">
        <f>IF(B65="","",IF(AND(I65&gt;1.25*H65,L65&gt;0),"Over hours + late",IF(I65&gt;1.25*H65,"Over hours",IF(L65&gt;0,"Late","On track"))))</f>
        <v/>
      </c>
    </row>
    <row r="66">
      <c r="E66" s="12" t="n"/>
      <c r="F66" s="12" t="n"/>
      <c r="G66" s="12" t="n"/>
      <c r="K66" s="13">
        <f>IF(I66="","",I66*J66)</f>
        <v/>
      </c>
      <c r="L66">
        <f>IF(F66="","",IF(G66&lt;&gt;"",MAX(0,G66-F66),IF(TODAY()&gt;F66,TODAY()-F66,0)))</f>
        <v/>
      </c>
      <c r="M66">
        <f>IF(B66="","",IF(AND(I66&gt;1.25*H66,L66&gt;0),"Over hours + late",IF(I66&gt;1.25*H66,"Over hours",IF(L66&gt;0,"Late","On track"))))</f>
        <v/>
      </c>
    </row>
    <row r="67">
      <c r="E67" s="12" t="n"/>
      <c r="F67" s="12" t="n"/>
      <c r="G67" s="12" t="n"/>
      <c r="K67" s="13">
        <f>IF(I67="","",I67*J67)</f>
        <v/>
      </c>
      <c r="L67">
        <f>IF(F67="","",IF(G67&lt;&gt;"",MAX(0,G67-F67),IF(TODAY()&gt;F67,TODAY()-F67,0)))</f>
        <v/>
      </c>
      <c r="M67">
        <f>IF(B67="","",IF(AND(I67&gt;1.25*H67,L67&gt;0),"Over hours + late",IF(I67&gt;1.25*H67,"Over hours",IF(L67&gt;0,"Late","On track"))))</f>
        <v/>
      </c>
    </row>
    <row r="68">
      <c r="E68" s="12" t="n"/>
      <c r="F68" s="12" t="n"/>
      <c r="G68" s="12" t="n"/>
      <c r="K68" s="13">
        <f>IF(I68="","",I68*J68)</f>
        <v/>
      </c>
      <c r="L68">
        <f>IF(F68="","",IF(G68&lt;&gt;"",MAX(0,G68-F68),IF(TODAY()&gt;F68,TODAY()-F68,0)))</f>
        <v/>
      </c>
      <c r="M68">
        <f>IF(B68="","",IF(AND(I68&gt;1.25*H68,L68&gt;0),"Over hours + late",IF(I68&gt;1.25*H68,"Over hours",IF(L68&gt;0,"Late","On track"))))</f>
        <v/>
      </c>
    </row>
    <row r="69">
      <c r="E69" s="12" t="n"/>
      <c r="F69" s="12" t="n"/>
      <c r="G69" s="12" t="n"/>
      <c r="K69" s="13">
        <f>IF(I69="","",I69*J69)</f>
        <v/>
      </c>
      <c r="L69">
        <f>IF(F69="","",IF(G69&lt;&gt;"",MAX(0,G69-F69),IF(TODAY()&gt;F69,TODAY()-F69,0)))</f>
        <v/>
      </c>
      <c r="M69">
        <f>IF(B69="","",IF(AND(I69&gt;1.25*H69,L69&gt;0),"Over hours + late",IF(I69&gt;1.25*H69,"Over hours",IF(L69&gt;0,"Late","On track"))))</f>
        <v/>
      </c>
    </row>
    <row r="70">
      <c r="E70" s="12" t="n"/>
      <c r="F70" s="12" t="n"/>
      <c r="G70" s="12" t="n"/>
      <c r="K70" s="13">
        <f>IF(I70="","",I70*J70)</f>
        <v/>
      </c>
      <c r="L70">
        <f>IF(F70="","",IF(G70&lt;&gt;"",MAX(0,G70-F70),IF(TODAY()&gt;F70,TODAY()-F70,0)))</f>
        <v/>
      </c>
      <c r="M70">
        <f>IF(B70="","",IF(AND(I70&gt;1.25*H70,L70&gt;0),"Over hours + late",IF(I70&gt;1.25*H70,"Over hours",IF(L70&gt;0,"Late","On track"))))</f>
        <v/>
      </c>
    </row>
    <row r="71">
      <c r="E71" s="12" t="n"/>
      <c r="F71" s="12" t="n"/>
      <c r="G71" s="12" t="n"/>
      <c r="K71" s="13">
        <f>IF(I71="","",I71*J71)</f>
        <v/>
      </c>
      <c r="L71">
        <f>IF(F71="","",IF(G71&lt;&gt;"",MAX(0,G71-F71),IF(TODAY()&gt;F71,TODAY()-F71,0)))</f>
        <v/>
      </c>
      <c r="M71">
        <f>IF(B71="","",IF(AND(I71&gt;1.25*H71,L71&gt;0),"Over hours + late",IF(I71&gt;1.25*H71,"Over hours",IF(L71&gt;0,"Late","On track"))))</f>
        <v/>
      </c>
    </row>
    <row r="72">
      <c r="E72" s="12" t="n"/>
      <c r="F72" s="12" t="n"/>
      <c r="G72" s="12" t="n"/>
      <c r="K72" s="13">
        <f>IF(I72="","",I72*J72)</f>
        <v/>
      </c>
      <c r="L72">
        <f>IF(F72="","",IF(G72&lt;&gt;"",MAX(0,G72-F72),IF(TODAY()&gt;F72,TODAY()-F72,0)))</f>
        <v/>
      </c>
      <c r="M72">
        <f>IF(B72="","",IF(AND(I72&gt;1.25*H72,L72&gt;0),"Over hours + late",IF(I72&gt;1.25*H72,"Over hours",IF(L72&gt;0,"Late","On track"))))</f>
        <v/>
      </c>
    </row>
    <row r="73">
      <c r="E73" s="12" t="n"/>
      <c r="F73" s="12" t="n"/>
      <c r="G73" s="12" t="n"/>
      <c r="K73" s="13">
        <f>IF(I73="","",I73*J73)</f>
        <v/>
      </c>
      <c r="L73">
        <f>IF(F73="","",IF(G73&lt;&gt;"",MAX(0,G73-F73),IF(TODAY()&gt;F73,TODAY()-F73,0)))</f>
        <v/>
      </c>
      <c r="M73">
        <f>IF(B73="","",IF(AND(I73&gt;1.25*H73,L73&gt;0),"Over hours + late",IF(I73&gt;1.25*H73,"Over hours",IF(L73&gt;0,"Late","On track"))))</f>
        <v/>
      </c>
    </row>
    <row r="74">
      <c r="E74" s="12" t="n"/>
      <c r="F74" s="12" t="n"/>
      <c r="G74" s="12" t="n"/>
      <c r="K74" s="13">
        <f>IF(I74="","",I74*J74)</f>
        <v/>
      </c>
      <c r="L74">
        <f>IF(F74="","",IF(G74&lt;&gt;"",MAX(0,G74-F74),IF(TODAY()&gt;F74,TODAY()-F74,0)))</f>
        <v/>
      </c>
      <c r="M74">
        <f>IF(B74="","",IF(AND(I74&gt;1.25*H74,L74&gt;0),"Over hours + late",IF(I74&gt;1.25*H74,"Over hours",IF(L74&gt;0,"Late","On track"))))</f>
        <v/>
      </c>
    </row>
    <row r="75">
      <c r="E75" s="12" t="n"/>
      <c r="F75" s="12" t="n"/>
      <c r="G75" s="12" t="n"/>
      <c r="K75" s="13">
        <f>IF(I75="","",I75*J75)</f>
        <v/>
      </c>
      <c r="L75">
        <f>IF(F75="","",IF(G75&lt;&gt;"",MAX(0,G75-F75),IF(TODAY()&gt;F75,TODAY()-F75,0)))</f>
        <v/>
      </c>
      <c r="M75">
        <f>IF(B75="","",IF(AND(I75&gt;1.25*H75,L75&gt;0),"Over hours + late",IF(I75&gt;1.25*H75,"Over hours",IF(L75&gt;0,"Late","On track"))))</f>
        <v/>
      </c>
    </row>
    <row r="76">
      <c r="E76" s="12" t="n"/>
      <c r="F76" s="12" t="n"/>
      <c r="G76" s="12" t="n"/>
      <c r="K76" s="13">
        <f>IF(I76="","",I76*J76)</f>
        <v/>
      </c>
      <c r="L76">
        <f>IF(F76="","",IF(G76&lt;&gt;"",MAX(0,G76-F76),IF(TODAY()&gt;F76,TODAY()-F76,0)))</f>
        <v/>
      </c>
      <c r="M76">
        <f>IF(B76="","",IF(AND(I76&gt;1.25*H76,L76&gt;0),"Over hours + late",IF(I76&gt;1.25*H76,"Over hours",IF(L76&gt;0,"Late","On track"))))</f>
        <v/>
      </c>
    </row>
    <row r="77">
      <c r="E77" s="12" t="n"/>
      <c r="F77" s="12" t="n"/>
      <c r="G77" s="12" t="n"/>
      <c r="K77" s="13">
        <f>IF(I77="","",I77*J77)</f>
        <v/>
      </c>
      <c r="L77">
        <f>IF(F77="","",IF(G77&lt;&gt;"",MAX(0,G77-F77),IF(TODAY()&gt;F77,TODAY()-F77,0)))</f>
        <v/>
      </c>
      <c r="M77">
        <f>IF(B77="","",IF(AND(I77&gt;1.25*H77,L77&gt;0),"Over hours + late",IF(I77&gt;1.25*H77,"Over hours",IF(L77&gt;0,"Late","On track"))))</f>
        <v/>
      </c>
    </row>
    <row r="78">
      <c r="E78" s="12" t="n"/>
      <c r="F78" s="12" t="n"/>
      <c r="G78" s="12" t="n"/>
      <c r="K78" s="13">
        <f>IF(I78="","",I78*J78)</f>
        <v/>
      </c>
      <c r="L78">
        <f>IF(F78="","",IF(G78&lt;&gt;"",MAX(0,G78-F78),IF(TODAY()&gt;F78,TODAY()-F78,0)))</f>
        <v/>
      </c>
      <c r="M78">
        <f>IF(B78="","",IF(AND(I78&gt;1.25*H78,L78&gt;0),"Over hours + late",IF(I78&gt;1.25*H78,"Over hours",IF(L78&gt;0,"Late","On track"))))</f>
        <v/>
      </c>
    </row>
    <row r="79">
      <c r="E79" s="12" t="n"/>
      <c r="F79" s="12" t="n"/>
      <c r="G79" s="12" t="n"/>
      <c r="K79" s="13">
        <f>IF(I79="","",I79*J79)</f>
        <v/>
      </c>
      <c r="L79">
        <f>IF(F79="","",IF(G79&lt;&gt;"",MAX(0,G79-F79),IF(TODAY()&gt;F79,TODAY()-F79,0)))</f>
        <v/>
      </c>
      <c r="M79">
        <f>IF(B79="","",IF(AND(I79&gt;1.25*H79,L79&gt;0),"Over hours + late",IF(I79&gt;1.25*H79,"Over hours",IF(L79&gt;0,"Late","On track"))))</f>
        <v/>
      </c>
    </row>
    <row r="80">
      <c r="E80" s="12" t="n"/>
      <c r="F80" s="12" t="n"/>
      <c r="G80" s="12" t="n"/>
      <c r="K80" s="13">
        <f>IF(I80="","",I80*J80)</f>
        <v/>
      </c>
      <c r="L80">
        <f>IF(F80="","",IF(G80&lt;&gt;"",MAX(0,G80-F80),IF(TODAY()&gt;F80,TODAY()-F80,0)))</f>
        <v/>
      </c>
      <c r="M80">
        <f>IF(B80="","",IF(AND(I80&gt;1.25*H80,L80&gt;0),"Over hours + late",IF(I80&gt;1.25*H80,"Over hours",IF(L80&gt;0,"Late","On track"))))</f>
        <v/>
      </c>
    </row>
    <row r="81">
      <c r="E81" s="12" t="n"/>
      <c r="F81" s="12" t="n"/>
      <c r="G81" s="12" t="n"/>
      <c r="K81" s="13">
        <f>IF(I81="","",I81*J81)</f>
        <v/>
      </c>
      <c r="L81">
        <f>IF(F81="","",IF(G81&lt;&gt;"",MAX(0,G81-F81),IF(TODAY()&gt;F81,TODAY()-F81,0)))</f>
        <v/>
      </c>
      <c r="M81">
        <f>IF(B81="","",IF(AND(I81&gt;1.25*H81,L81&gt;0),"Over hours + late",IF(I81&gt;1.25*H81,"Over hours",IF(L81&gt;0,"Late","On track"))))</f>
        <v/>
      </c>
    </row>
    <row r="82">
      <c r="E82" s="12" t="n"/>
      <c r="F82" s="12" t="n"/>
      <c r="G82" s="12" t="n"/>
      <c r="K82" s="13">
        <f>IF(I82="","",I82*J82)</f>
        <v/>
      </c>
      <c r="L82">
        <f>IF(F82="","",IF(G82&lt;&gt;"",MAX(0,G82-F82),IF(TODAY()&gt;F82,TODAY()-F82,0)))</f>
        <v/>
      </c>
      <c r="M82">
        <f>IF(B82="","",IF(AND(I82&gt;1.25*H82,L82&gt;0),"Over hours + late",IF(I82&gt;1.25*H82,"Over hours",IF(L82&gt;0,"Late","On track"))))</f>
        <v/>
      </c>
    </row>
    <row r="83">
      <c r="E83" s="12" t="n"/>
      <c r="F83" s="12" t="n"/>
      <c r="G83" s="12" t="n"/>
      <c r="K83" s="13">
        <f>IF(I83="","",I83*J83)</f>
        <v/>
      </c>
      <c r="L83">
        <f>IF(F83="","",IF(G83&lt;&gt;"",MAX(0,G83-F83),IF(TODAY()&gt;F83,TODAY()-F83,0)))</f>
        <v/>
      </c>
      <c r="M83">
        <f>IF(B83="","",IF(AND(I83&gt;1.25*H83,L83&gt;0),"Over hours + late",IF(I83&gt;1.25*H83,"Over hours",IF(L83&gt;0,"Late","On track"))))</f>
        <v/>
      </c>
    </row>
    <row r="84">
      <c r="E84" s="12" t="n"/>
      <c r="F84" s="12" t="n"/>
      <c r="G84" s="12" t="n"/>
      <c r="K84" s="13">
        <f>IF(I84="","",I84*J84)</f>
        <v/>
      </c>
      <c r="L84">
        <f>IF(F84="","",IF(G84&lt;&gt;"",MAX(0,G84-F84),IF(TODAY()&gt;F84,TODAY()-F84,0)))</f>
        <v/>
      </c>
      <c r="M84">
        <f>IF(B84="","",IF(AND(I84&gt;1.25*H84,L84&gt;0),"Over hours + late",IF(I84&gt;1.25*H84,"Over hours",IF(L84&gt;0,"Late","On track"))))</f>
        <v/>
      </c>
    </row>
    <row r="85">
      <c r="E85" s="12" t="n"/>
      <c r="F85" s="12" t="n"/>
      <c r="G85" s="12" t="n"/>
      <c r="K85" s="13">
        <f>IF(I85="","",I85*J85)</f>
        <v/>
      </c>
      <c r="L85">
        <f>IF(F85="","",IF(G85&lt;&gt;"",MAX(0,G85-F85),IF(TODAY()&gt;F85,TODAY()-F85,0)))</f>
        <v/>
      </c>
      <c r="M85">
        <f>IF(B85="","",IF(AND(I85&gt;1.25*H85,L85&gt;0),"Over hours + late",IF(I85&gt;1.25*H85,"Over hours",IF(L85&gt;0,"Late","On track"))))</f>
        <v/>
      </c>
    </row>
    <row r="86">
      <c r="E86" s="12" t="n"/>
      <c r="F86" s="12" t="n"/>
      <c r="G86" s="12" t="n"/>
      <c r="K86" s="13">
        <f>IF(I86="","",I86*J86)</f>
        <v/>
      </c>
      <c r="L86">
        <f>IF(F86="","",IF(G86&lt;&gt;"",MAX(0,G86-F86),IF(TODAY()&gt;F86,TODAY()-F86,0)))</f>
        <v/>
      </c>
      <c r="M86">
        <f>IF(B86="","",IF(AND(I86&gt;1.25*H86,L86&gt;0),"Over hours + late",IF(I86&gt;1.25*H86,"Over hours",IF(L86&gt;0,"Late","On track"))))</f>
        <v/>
      </c>
    </row>
    <row r="87">
      <c r="E87" s="12" t="n"/>
      <c r="F87" s="12" t="n"/>
      <c r="G87" s="12" t="n"/>
      <c r="K87" s="13">
        <f>IF(I87="","",I87*J87)</f>
        <v/>
      </c>
      <c r="L87">
        <f>IF(F87="","",IF(G87&lt;&gt;"",MAX(0,G87-F87),IF(TODAY()&gt;F87,TODAY()-F87,0)))</f>
        <v/>
      </c>
      <c r="M87">
        <f>IF(B87="","",IF(AND(I87&gt;1.25*H87,L87&gt;0),"Over hours + late",IF(I87&gt;1.25*H87,"Over hours",IF(L87&gt;0,"Late","On track"))))</f>
        <v/>
      </c>
    </row>
    <row r="88">
      <c r="E88" s="12" t="n"/>
      <c r="F88" s="12" t="n"/>
      <c r="G88" s="12" t="n"/>
      <c r="K88" s="13">
        <f>IF(I88="","",I88*J88)</f>
        <v/>
      </c>
      <c r="L88">
        <f>IF(F88="","",IF(G88&lt;&gt;"",MAX(0,G88-F88),IF(TODAY()&gt;F88,TODAY()-F88,0)))</f>
        <v/>
      </c>
      <c r="M88">
        <f>IF(B88="","",IF(AND(I88&gt;1.25*H88,L88&gt;0),"Over hours + late",IF(I88&gt;1.25*H88,"Over hours",IF(L88&gt;0,"Late","On track"))))</f>
        <v/>
      </c>
    </row>
    <row r="89">
      <c r="E89" s="12" t="n"/>
      <c r="F89" s="12" t="n"/>
      <c r="G89" s="12" t="n"/>
      <c r="K89" s="13">
        <f>IF(I89="","",I89*J89)</f>
        <v/>
      </c>
      <c r="L89">
        <f>IF(F89="","",IF(G89&lt;&gt;"",MAX(0,G89-F89),IF(TODAY()&gt;F89,TODAY()-F89,0)))</f>
        <v/>
      </c>
      <c r="M89">
        <f>IF(B89="","",IF(AND(I89&gt;1.25*H89,L89&gt;0),"Over hours + late",IF(I89&gt;1.25*H89,"Over hours",IF(L89&gt;0,"Late","On track"))))</f>
        <v/>
      </c>
    </row>
    <row r="90">
      <c r="E90" s="12" t="n"/>
      <c r="F90" s="12" t="n"/>
      <c r="G90" s="12" t="n"/>
      <c r="K90" s="13">
        <f>IF(I90="","",I90*J90)</f>
        <v/>
      </c>
      <c r="L90">
        <f>IF(F90="","",IF(G90&lt;&gt;"",MAX(0,G90-F90),IF(TODAY()&gt;F90,TODAY()-F90,0)))</f>
        <v/>
      </c>
      <c r="M90">
        <f>IF(B90="","",IF(AND(I90&gt;1.25*H90,L90&gt;0),"Over hours + late",IF(I90&gt;1.25*H90,"Over hours",IF(L90&gt;0,"Late","On track"))))</f>
        <v/>
      </c>
    </row>
    <row r="91">
      <c r="E91" s="12" t="n"/>
      <c r="F91" s="12" t="n"/>
      <c r="G91" s="12" t="n"/>
      <c r="K91" s="13">
        <f>IF(I91="","",I91*J91)</f>
        <v/>
      </c>
      <c r="L91">
        <f>IF(F91="","",IF(G91&lt;&gt;"",MAX(0,G91-F91),IF(TODAY()&gt;F91,TODAY()-F91,0)))</f>
        <v/>
      </c>
      <c r="M91">
        <f>IF(B91="","",IF(AND(I91&gt;1.25*H91,L91&gt;0),"Over hours + late",IF(I91&gt;1.25*H91,"Over hours",IF(L91&gt;0,"Late","On track"))))</f>
        <v/>
      </c>
    </row>
    <row r="92">
      <c r="E92" s="12" t="n"/>
      <c r="F92" s="12" t="n"/>
      <c r="G92" s="12" t="n"/>
      <c r="K92" s="13">
        <f>IF(I92="","",I92*J92)</f>
        <v/>
      </c>
      <c r="L92">
        <f>IF(F92="","",IF(G92&lt;&gt;"",MAX(0,G92-F92),IF(TODAY()&gt;F92,TODAY()-F92,0)))</f>
        <v/>
      </c>
      <c r="M92">
        <f>IF(B92="","",IF(AND(I92&gt;1.25*H92,L92&gt;0),"Over hours + late",IF(I92&gt;1.25*H92,"Over hours",IF(L92&gt;0,"Late","On track"))))</f>
        <v/>
      </c>
    </row>
    <row r="93">
      <c r="E93" s="12" t="n"/>
      <c r="F93" s="12" t="n"/>
      <c r="G93" s="12" t="n"/>
      <c r="K93" s="13">
        <f>IF(I93="","",I93*J93)</f>
        <v/>
      </c>
      <c r="L93">
        <f>IF(F93="","",IF(G93&lt;&gt;"",MAX(0,G93-F93),IF(TODAY()&gt;F93,TODAY()-F93,0)))</f>
        <v/>
      </c>
      <c r="M93">
        <f>IF(B93="","",IF(AND(I93&gt;1.25*H93,L93&gt;0),"Over hours + late",IF(I93&gt;1.25*H93,"Over hours",IF(L93&gt;0,"Late","On track"))))</f>
        <v/>
      </c>
    </row>
    <row r="94">
      <c r="E94" s="12" t="n"/>
      <c r="F94" s="12" t="n"/>
      <c r="G94" s="12" t="n"/>
      <c r="K94" s="13">
        <f>IF(I94="","",I94*J94)</f>
        <v/>
      </c>
      <c r="L94">
        <f>IF(F94="","",IF(G94&lt;&gt;"",MAX(0,G94-F94),IF(TODAY()&gt;F94,TODAY()-F94,0)))</f>
        <v/>
      </c>
      <c r="M94">
        <f>IF(B94="","",IF(AND(I94&gt;1.25*H94,L94&gt;0),"Over hours + late",IF(I94&gt;1.25*H94,"Over hours",IF(L94&gt;0,"Late","On track"))))</f>
        <v/>
      </c>
    </row>
    <row r="95">
      <c r="E95" s="12" t="n"/>
      <c r="F95" s="12" t="n"/>
      <c r="G95" s="12" t="n"/>
      <c r="K95" s="13">
        <f>IF(I95="","",I95*J95)</f>
        <v/>
      </c>
      <c r="L95">
        <f>IF(F95="","",IF(G95&lt;&gt;"",MAX(0,G95-F95),IF(TODAY()&gt;F95,TODAY()-F95,0)))</f>
        <v/>
      </c>
      <c r="M95">
        <f>IF(B95="","",IF(AND(I95&gt;1.25*H95,L95&gt;0),"Over hours + late",IF(I95&gt;1.25*H95,"Over hours",IF(L95&gt;0,"Late","On track"))))</f>
        <v/>
      </c>
    </row>
    <row r="96">
      <c r="E96" s="12" t="n"/>
      <c r="F96" s="12" t="n"/>
      <c r="G96" s="12" t="n"/>
      <c r="K96" s="13">
        <f>IF(I96="","",I96*J96)</f>
        <v/>
      </c>
      <c r="L96">
        <f>IF(F96="","",IF(G96&lt;&gt;"",MAX(0,G96-F96),IF(TODAY()&gt;F96,TODAY()-F96,0)))</f>
        <v/>
      </c>
      <c r="M96">
        <f>IF(B96="","",IF(AND(I96&gt;1.25*H96,L96&gt;0),"Over hours + late",IF(I96&gt;1.25*H96,"Over hours",IF(L96&gt;0,"Late","On track"))))</f>
        <v/>
      </c>
    </row>
    <row r="97">
      <c r="E97" s="12" t="n"/>
      <c r="F97" s="12" t="n"/>
      <c r="G97" s="12" t="n"/>
      <c r="K97" s="13">
        <f>IF(I97="","",I97*J97)</f>
        <v/>
      </c>
      <c r="L97">
        <f>IF(F97="","",IF(G97&lt;&gt;"",MAX(0,G97-F97),IF(TODAY()&gt;F97,TODAY()-F97,0)))</f>
        <v/>
      </c>
      <c r="M97">
        <f>IF(B97="","",IF(AND(I97&gt;1.25*H97,L97&gt;0),"Over hours + late",IF(I97&gt;1.25*H97,"Over hours",IF(L97&gt;0,"Late","On track"))))</f>
        <v/>
      </c>
    </row>
    <row r="98">
      <c r="E98" s="12" t="n"/>
      <c r="F98" s="12" t="n"/>
      <c r="G98" s="12" t="n"/>
      <c r="K98" s="13">
        <f>IF(I98="","",I98*J98)</f>
        <v/>
      </c>
      <c r="L98">
        <f>IF(F98="","",IF(G98&lt;&gt;"",MAX(0,G98-F98),IF(TODAY()&gt;F98,TODAY()-F98,0)))</f>
        <v/>
      </c>
      <c r="M98">
        <f>IF(B98="","",IF(AND(I98&gt;1.25*H98,L98&gt;0),"Over hours + late",IF(I98&gt;1.25*H98,"Over hours",IF(L98&gt;0,"Late","On track"))))</f>
        <v/>
      </c>
    </row>
    <row r="99">
      <c r="E99" s="12" t="n"/>
      <c r="F99" s="12" t="n"/>
      <c r="G99" s="12" t="n"/>
      <c r="K99" s="13">
        <f>IF(I99="","",I99*J99)</f>
        <v/>
      </c>
      <c r="L99">
        <f>IF(F99="","",IF(G99&lt;&gt;"",MAX(0,G99-F99),IF(TODAY()&gt;F99,TODAY()-F99,0)))</f>
        <v/>
      </c>
      <c r="M99">
        <f>IF(B99="","",IF(AND(I99&gt;1.25*H99,L99&gt;0),"Over hours + late",IF(I99&gt;1.25*H99,"Over hours",IF(L99&gt;0,"Late","On track"))))</f>
        <v/>
      </c>
    </row>
    <row r="100">
      <c r="E100" s="12" t="n"/>
      <c r="F100" s="12" t="n"/>
      <c r="G100" s="12" t="n"/>
      <c r="K100" s="13">
        <f>IF(I100="","",I100*J100)</f>
        <v/>
      </c>
      <c r="L100">
        <f>IF(F100="","",IF(G100&lt;&gt;"",MAX(0,G100-F100),IF(TODAY()&gt;F100,TODAY()-F100,0)))</f>
        <v/>
      </c>
      <c r="M100">
        <f>IF(B100="","",IF(AND(I100&gt;1.25*H100,L100&gt;0),"Over hours + late",IF(I100&gt;1.25*H100,"Over hours",IF(L100&gt;0,"Late","On track"))))</f>
        <v/>
      </c>
    </row>
    <row r="101">
      <c r="E101" s="12" t="n"/>
      <c r="F101" s="12" t="n"/>
      <c r="G101" s="12" t="n"/>
      <c r="K101" s="13">
        <f>IF(I101="","",I101*J101)</f>
        <v/>
      </c>
      <c r="L101">
        <f>IF(F101="","",IF(G101&lt;&gt;"",MAX(0,G101-F101),IF(TODAY()&gt;F101,TODAY()-F101,0)))</f>
        <v/>
      </c>
      <c r="M101">
        <f>IF(B101="","",IF(AND(I101&gt;1.25*H101,L101&gt;0),"Over hours + late",IF(I101&gt;1.25*H101,"Over hours",IF(L101&gt;0,"Late","On track"))))</f>
        <v/>
      </c>
    </row>
    <row r="102">
      <c r="E102" s="12" t="n"/>
      <c r="F102" s="12" t="n"/>
      <c r="G102" s="12" t="n"/>
      <c r="K102" s="13">
        <f>IF(I102="","",I102*J102)</f>
        <v/>
      </c>
      <c r="L102">
        <f>IF(F102="","",IF(G102&lt;&gt;"",MAX(0,G102-F102),IF(TODAY()&gt;F102,TODAY()-F102,0)))</f>
        <v/>
      </c>
      <c r="M102">
        <f>IF(B102="","",IF(AND(I102&gt;1.25*H102,L102&gt;0),"Over hours + late",IF(I102&gt;1.25*H102,"Over hours",IF(L102&gt;0,"Late","On track"))))</f>
        <v/>
      </c>
    </row>
    <row r="103">
      <c r="E103" s="12" t="n"/>
      <c r="F103" s="12" t="n"/>
      <c r="G103" s="12" t="n"/>
      <c r="K103" s="13">
        <f>IF(I103="","",I103*J103)</f>
        <v/>
      </c>
      <c r="L103">
        <f>IF(F103="","",IF(G103&lt;&gt;"",MAX(0,G103-F103),IF(TODAY()&gt;F103,TODAY()-F103,0)))</f>
        <v/>
      </c>
      <c r="M103">
        <f>IF(B103="","",IF(AND(I103&gt;1.25*H103,L103&gt;0),"Over hours + late",IF(I103&gt;1.25*H103,"Over hours",IF(L103&gt;0,"Late","On track"))))</f>
        <v/>
      </c>
    </row>
    <row r="104">
      <c r="E104" s="12" t="n"/>
      <c r="F104" s="12" t="n"/>
      <c r="G104" s="12" t="n"/>
      <c r="K104" s="13">
        <f>IF(I104="","",I104*J104)</f>
        <v/>
      </c>
      <c r="L104">
        <f>IF(F104="","",IF(G104&lt;&gt;"",MAX(0,G104-F104),IF(TODAY()&gt;F104,TODAY()-F104,0)))</f>
        <v/>
      </c>
      <c r="M104">
        <f>IF(B104="","",IF(AND(I104&gt;1.25*H104,L104&gt;0),"Over hours + late",IF(I104&gt;1.25*H104,"Over hours",IF(L104&gt;0,"Late","On track"))))</f>
        <v/>
      </c>
    </row>
    <row r="105">
      <c r="E105" s="12" t="n"/>
      <c r="F105" s="12" t="n"/>
      <c r="G105" s="12" t="n"/>
      <c r="K105" s="13">
        <f>IF(I105="","",I105*J105)</f>
        <v/>
      </c>
      <c r="L105">
        <f>IF(F105="","",IF(G105&lt;&gt;"",MAX(0,G105-F105),IF(TODAY()&gt;F105,TODAY()-F105,0)))</f>
        <v/>
      </c>
      <c r="M105">
        <f>IF(B105="","",IF(AND(I105&gt;1.25*H105,L105&gt;0),"Over hours + late",IF(I105&gt;1.25*H105,"Over hours",IF(L105&gt;0,"Late","On track"))))</f>
        <v/>
      </c>
    </row>
    <row r="106">
      <c r="E106" s="12" t="n"/>
      <c r="F106" s="12" t="n"/>
      <c r="G106" s="12" t="n"/>
      <c r="K106" s="13">
        <f>IF(I106="","",I106*J106)</f>
        <v/>
      </c>
      <c r="L106">
        <f>IF(F106="","",IF(G106&lt;&gt;"",MAX(0,G106-F106),IF(TODAY()&gt;F106,TODAY()-F106,0)))</f>
        <v/>
      </c>
      <c r="M106">
        <f>IF(B106="","",IF(AND(I106&gt;1.25*H106,L106&gt;0),"Over hours + late",IF(I106&gt;1.25*H106,"Over hours",IF(L106&gt;0,"Late","On track"))))</f>
        <v/>
      </c>
    </row>
    <row r="107">
      <c r="E107" s="12" t="n"/>
      <c r="F107" s="12" t="n"/>
      <c r="G107" s="12" t="n"/>
      <c r="K107" s="13">
        <f>IF(I107="","",I107*J107)</f>
        <v/>
      </c>
      <c r="L107">
        <f>IF(F107="","",IF(G107&lt;&gt;"",MAX(0,G107-F107),IF(TODAY()&gt;F107,TODAY()-F107,0)))</f>
        <v/>
      </c>
      <c r="M107">
        <f>IF(B107="","",IF(AND(I107&gt;1.25*H107,L107&gt;0),"Over hours + late",IF(I107&gt;1.25*H107,"Over hours",IF(L107&gt;0,"Late","On track"))))</f>
        <v/>
      </c>
    </row>
    <row r="108">
      <c r="E108" s="12" t="n"/>
      <c r="F108" s="12" t="n"/>
      <c r="G108" s="12" t="n"/>
      <c r="K108" s="13">
        <f>IF(I108="","",I108*J108)</f>
        <v/>
      </c>
      <c r="L108">
        <f>IF(F108="","",IF(G108&lt;&gt;"",MAX(0,G108-F108),IF(TODAY()&gt;F108,TODAY()-F108,0)))</f>
        <v/>
      </c>
      <c r="M108">
        <f>IF(B108="","",IF(AND(I108&gt;1.25*H108,L108&gt;0),"Over hours + late",IF(I108&gt;1.25*H108,"Over hours",IF(L108&gt;0,"Late","On track"))))</f>
        <v/>
      </c>
    </row>
    <row r="109">
      <c r="E109" s="12" t="n"/>
      <c r="F109" s="12" t="n"/>
      <c r="G109" s="12" t="n"/>
      <c r="K109" s="13">
        <f>IF(I109="","",I109*J109)</f>
        <v/>
      </c>
      <c r="L109">
        <f>IF(F109="","",IF(G109&lt;&gt;"",MAX(0,G109-F109),IF(TODAY()&gt;F109,TODAY()-F109,0)))</f>
        <v/>
      </c>
      <c r="M109">
        <f>IF(B109="","",IF(AND(I109&gt;1.25*H109,L109&gt;0),"Over hours + late",IF(I109&gt;1.25*H109,"Over hours",IF(L109&gt;0,"Late","On track"))))</f>
        <v/>
      </c>
    </row>
    <row r="110">
      <c r="E110" s="12" t="n"/>
      <c r="F110" s="12" t="n"/>
      <c r="G110" s="12" t="n"/>
      <c r="K110" s="13">
        <f>IF(I110="","",I110*J110)</f>
        <v/>
      </c>
      <c r="L110">
        <f>IF(F110="","",IF(G110&lt;&gt;"",MAX(0,G110-F110),IF(TODAY()&gt;F110,TODAY()-F110,0)))</f>
        <v/>
      </c>
      <c r="M110">
        <f>IF(B110="","",IF(AND(I110&gt;1.25*H110,L110&gt;0),"Over hours + late",IF(I110&gt;1.25*H110,"Over hours",IF(L110&gt;0,"Late","On track"))))</f>
        <v/>
      </c>
    </row>
    <row r="111">
      <c r="E111" s="12" t="n"/>
      <c r="F111" s="12" t="n"/>
      <c r="G111" s="12" t="n"/>
      <c r="K111" s="13">
        <f>IF(I111="","",I111*J111)</f>
        <v/>
      </c>
      <c r="L111">
        <f>IF(F111="","",IF(G111&lt;&gt;"",MAX(0,G111-F111),IF(TODAY()&gt;F111,TODAY()-F111,0)))</f>
        <v/>
      </c>
      <c r="M111">
        <f>IF(B111="","",IF(AND(I111&gt;1.25*H111,L111&gt;0),"Over hours + late",IF(I111&gt;1.25*H111,"Over hours",IF(L111&gt;0,"Late","On track"))))</f>
        <v/>
      </c>
    </row>
    <row r="112">
      <c r="E112" s="12" t="n"/>
      <c r="F112" s="12" t="n"/>
      <c r="G112" s="12" t="n"/>
      <c r="K112" s="13">
        <f>IF(I112="","",I112*J112)</f>
        <v/>
      </c>
      <c r="L112">
        <f>IF(F112="","",IF(G112&lt;&gt;"",MAX(0,G112-F112),IF(TODAY()&gt;F112,TODAY()-F112,0)))</f>
        <v/>
      </c>
      <c r="M112">
        <f>IF(B112="","",IF(AND(I112&gt;1.25*H112,L112&gt;0),"Over hours + late",IF(I112&gt;1.25*H112,"Over hours",IF(L112&gt;0,"Late","On track"))))</f>
        <v/>
      </c>
    </row>
    <row r="113">
      <c r="E113" s="12" t="n"/>
      <c r="F113" s="12" t="n"/>
      <c r="G113" s="12" t="n"/>
      <c r="K113" s="13">
        <f>IF(I113="","",I113*J113)</f>
        <v/>
      </c>
      <c r="L113">
        <f>IF(F113="","",IF(G113&lt;&gt;"",MAX(0,G113-F113),IF(TODAY()&gt;F113,TODAY()-F113,0)))</f>
        <v/>
      </c>
      <c r="M113">
        <f>IF(B113="","",IF(AND(I113&gt;1.25*H113,L113&gt;0),"Over hours + late",IF(I113&gt;1.25*H113,"Over hours",IF(L113&gt;0,"Late","On track"))))</f>
        <v/>
      </c>
    </row>
    <row r="114">
      <c r="E114" s="12" t="n"/>
      <c r="F114" s="12" t="n"/>
      <c r="G114" s="12" t="n"/>
      <c r="K114" s="13">
        <f>IF(I114="","",I114*J114)</f>
        <v/>
      </c>
      <c r="L114">
        <f>IF(F114="","",IF(G114&lt;&gt;"",MAX(0,G114-F114),IF(TODAY()&gt;F114,TODAY()-F114,0)))</f>
        <v/>
      </c>
      <c r="M114">
        <f>IF(B114="","",IF(AND(I114&gt;1.25*H114,L114&gt;0),"Over hours + late",IF(I114&gt;1.25*H114,"Over hours",IF(L114&gt;0,"Late","On track"))))</f>
        <v/>
      </c>
    </row>
    <row r="115">
      <c r="E115" s="12" t="n"/>
      <c r="F115" s="12" t="n"/>
      <c r="G115" s="12" t="n"/>
      <c r="K115" s="13">
        <f>IF(I115="","",I115*J115)</f>
        <v/>
      </c>
      <c r="L115">
        <f>IF(F115="","",IF(G115&lt;&gt;"",MAX(0,G115-F115),IF(TODAY()&gt;F115,TODAY()-F115,0)))</f>
        <v/>
      </c>
      <c r="M115">
        <f>IF(B115="","",IF(AND(I115&gt;1.25*H115,L115&gt;0),"Over hours + late",IF(I115&gt;1.25*H115,"Over hours",IF(L115&gt;0,"Late","On track"))))</f>
        <v/>
      </c>
    </row>
    <row r="116">
      <c r="E116" s="12" t="n"/>
      <c r="F116" s="12" t="n"/>
      <c r="G116" s="12" t="n"/>
      <c r="K116" s="13">
        <f>IF(I116="","",I116*J116)</f>
        <v/>
      </c>
      <c r="L116">
        <f>IF(F116="","",IF(G116&lt;&gt;"",MAX(0,G116-F116),IF(TODAY()&gt;F116,TODAY()-F116,0)))</f>
        <v/>
      </c>
      <c r="M116">
        <f>IF(B116="","",IF(AND(I116&gt;1.25*H116,L116&gt;0),"Over hours + late",IF(I116&gt;1.25*H116,"Over hours",IF(L116&gt;0,"Late","On track"))))</f>
        <v/>
      </c>
    </row>
    <row r="117">
      <c r="E117" s="12" t="n"/>
      <c r="F117" s="12" t="n"/>
      <c r="G117" s="12" t="n"/>
      <c r="K117" s="13">
        <f>IF(I117="","",I117*J117)</f>
        <v/>
      </c>
      <c r="L117">
        <f>IF(F117="","",IF(G117&lt;&gt;"",MAX(0,G117-F117),IF(TODAY()&gt;F117,TODAY()-F117,0)))</f>
        <v/>
      </c>
      <c r="M117">
        <f>IF(B117="","",IF(AND(I117&gt;1.25*H117,L117&gt;0),"Over hours + late",IF(I117&gt;1.25*H117,"Over hours",IF(L117&gt;0,"Late","On track"))))</f>
        <v/>
      </c>
    </row>
    <row r="118">
      <c r="E118" s="12" t="n"/>
      <c r="F118" s="12" t="n"/>
      <c r="G118" s="12" t="n"/>
      <c r="K118" s="13">
        <f>IF(I118="","",I118*J118)</f>
        <v/>
      </c>
      <c r="L118">
        <f>IF(F118="","",IF(G118&lt;&gt;"",MAX(0,G118-F118),IF(TODAY()&gt;F118,TODAY()-F118,0)))</f>
        <v/>
      </c>
      <c r="M118">
        <f>IF(B118="","",IF(AND(I118&gt;1.25*H118,L118&gt;0),"Over hours + late",IF(I118&gt;1.25*H118,"Over hours",IF(L118&gt;0,"Late","On track"))))</f>
        <v/>
      </c>
    </row>
    <row r="119">
      <c r="E119" s="12" t="n"/>
      <c r="F119" s="12" t="n"/>
      <c r="G119" s="12" t="n"/>
      <c r="K119" s="13">
        <f>IF(I119="","",I119*J119)</f>
        <v/>
      </c>
      <c r="L119">
        <f>IF(F119="","",IF(G119&lt;&gt;"",MAX(0,G119-F119),IF(TODAY()&gt;F119,TODAY()-F119,0)))</f>
        <v/>
      </c>
      <c r="M119">
        <f>IF(B119="","",IF(AND(I119&gt;1.25*H119,L119&gt;0),"Over hours + late",IF(I119&gt;1.25*H119,"Over hours",IF(L119&gt;0,"Late","On track"))))</f>
        <v/>
      </c>
    </row>
    <row r="120">
      <c r="E120" s="12" t="n"/>
      <c r="F120" s="12" t="n"/>
      <c r="G120" s="12" t="n"/>
      <c r="K120" s="13">
        <f>IF(I120="","",I120*J120)</f>
        <v/>
      </c>
      <c r="L120">
        <f>IF(F120="","",IF(G120&lt;&gt;"",MAX(0,G120-F120),IF(TODAY()&gt;F120,TODAY()-F120,0)))</f>
        <v/>
      </c>
      <c r="M120">
        <f>IF(B120="","",IF(AND(I120&gt;1.25*H120,L120&gt;0),"Over hours + late",IF(I120&gt;1.25*H120,"Over hours",IF(L120&gt;0,"Late","On track"))))</f>
        <v/>
      </c>
    </row>
    <row r="121">
      <c r="E121" s="12" t="n"/>
      <c r="F121" s="12" t="n"/>
      <c r="G121" s="12" t="n"/>
      <c r="K121" s="13">
        <f>IF(I121="","",I121*J121)</f>
        <v/>
      </c>
      <c r="L121">
        <f>IF(F121="","",IF(G121&lt;&gt;"",MAX(0,G121-F121),IF(TODAY()&gt;F121,TODAY()-F121,0)))</f>
        <v/>
      </c>
      <c r="M121">
        <f>IF(B121="","",IF(AND(I121&gt;1.25*H121,L121&gt;0),"Over hours + late",IF(I121&gt;1.25*H121,"Over hours",IF(L121&gt;0,"Late","On track"))))</f>
        <v/>
      </c>
    </row>
    <row r="122">
      <c r="E122" s="12" t="n"/>
      <c r="F122" s="12" t="n"/>
      <c r="G122" s="12" t="n"/>
      <c r="K122" s="13">
        <f>IF(I122="","",I122*J122)</f>
        <v/>
      </c>
      <c r="L122">
        <f>IF(F122="","",IF(G122&lt;&gt;"",MAX(0,G122-F122),IF(TODAY()&gt;F122,TODAY()-F122,0)))</f>
        <v/>
      </c>
      <c r="M122">
        <f>IF(B122="","",IF(AND(I122&gt;1.25*H122,L122&gt;0),"Over hours + late",IF(I122&gt;1.25*H122,"Over hours",IF(L122&gt;0,"Late","On track"))))</f>
        <v/>
      </c>
    </row>
    <row r="123">
      <c r="E123" s="12" t="n"/>
      <c r="F123" s="12" t="n"/>
      <c r="G123" s="12" t="n"/>
      <c r="K123" s="13">
        <f>IF(I123="","",I123*J123)</f>
        <v/>
      </c>
      <c r="L123">
        <f>IF(F123="","",IF(G123&lt;&gt;"",MAX(0,G123-F123),IF(TODAY()&gt;F123,TODAY()-F123,0)))</f>
        <v/>
      </c>
      <c r="M123">
        <f>IF(B123="","",IF(AND(I123&gt;1.25*H123,L123&gt;0),"Over hours + late",IF(I123&gt;1.25*H123,"Over hours",IF(L123&gt;0,"Late","On track"))))</f>
        <v/>
      </c>
    </row>
    <row r="124">
      <c r="E124" s="12" t="n"/>
      <c r="F124" s="12" t="n"/>
      <c r="G124" s="12" t="n"/>
      <c r="K124" s="13">
        <f>IF(I124="","",I124*J124)</f>
        <v/>
      </c>
      <c r="L124">
        <f>IF(F124="","",IF(G124&lt;&gt;"",MAX(0,G124-F124),IF(TODAY()&gt;F124,TODAY()-F124,0)))</f>
        <v/>
      </c>
      <c r="M124">
        <f>IF(B124="","",IF(AND(I124&gt;1.25*H124,L124&gt;0),"Over hours + late",IF(I124&gt;1.25*H124,"Over hours",IF(L124&gt;0,"Late","On track"))))</f>
        <v/>
      </c>
    </row>
    <row r="125">
      <c r="E125" s="12" t="n"/>
      <c r="F125" s="12" t="n"/>
      <c r="G125" s="12" t="n"/>
      <c r="K125" s="13">
        <f>IF(I125="","",I125*J125)</f>
        <v/>
      </c>
      <c r="L125">
        <f>IF(F125="","",IF(G125&lt;&gt;"",MAX(0,G125-F125),IF(TODAY()&gt;F125,TODAY()-F125,0)))</f>
        <v/>
      </c>
      <c r="M125">
        <f>IF(B125="","",IF(AND(I125&gt;1.25*H125,L125&gt;0),"Over hours + late",IF(I125&gt;1.25*H125,"Over hours",IF(L125&gt;0,"Late","On track"))))</f>
        <v/>
      </c>
    </row>
    <row r="126">
      <c r="E126" s="12" t="n"/>
      <c r="F126" s="12" t="n"/>
      <c r="G126" s="12" t="n"/>
      <c r="K126" s="13">
        <f>IF(I126="","",I126*J126)</f>
        <v/>
      </c>
      <c r="L126">
        <f>IF(F126="","",IF(G126&lt;&gt;"",MAX(0,G126-F126),IF(TODAY()&gt;F126,TODAY()-F126,0)))</f>
        <v/>
      </c>
      <c r="M126">
        <f>IF(B126="","",IF(AND(I126&gt;1.25*H126,L126&gt;0),"Over hours + late",IF(I126&gt;1.25*H126,"Over hours",IF(L126&gt;0,"Late","On track"))))</f>
        <v/>
      </c>
    </row>
    <row r="127">
      <c r="E127" s="12" t="n"/>
      <c r="F127" s="12" t="n"/>
      <c r="G127" s="12" t="n"/>
      <c r="K127" s="13">
        <f>IF(I127="","",I127*J127)</f>
        <v/>
      </c>
      <c r="L127">
        <f>IF(F127="","",IF(G127&lt;&gt;"",MAX(0,G127-F127),IF(TODAY()&gt;F127,TODAY()-F127,0)))</f>
        <v/>
      </c>
      <c r="M127">
        <f>IF(B127="","",IF(AND(I127&gt;1.25*H127,L127&gt;0),"Over hours + late",IF(I127&gt;1.25*H127,"Over hours",IF(L127&gt;0,"Late","On track"))))</f>
        <v/>
      </c>
    </row>
    <row r="128">
      <c r="E128" s="12" t="n"/>
      <c r="F128" s="12" t="n"/>
      <c r="G128" s="12" t="n"/>
      <c r="K128" s="13">
        <f>IF(I128="","",I128*J128)</f>
        <v/>
      </c>
      <c r="L128">
        <f>IF(F128="","",IF(G128&lt;&gt;"",MAX(0,G128-F128),IF(TODAY()&gt;F128,TODAY()-F128,0)))</f>
        <v/>
      </c>
      <c r="M128">
        <f>IF(B128="","",IF(AND(I128&gt;1.25*H128,L128&gt;0),"Over hours + late",IF(I128&gt;1.25*H128,"Over hours",IF(L128&gt;0,"Late","On track"))))</f>
        <v/>
      </c>
    </row>
    <row r="129">
      <c r="E129" s="12" t="n"/>
      <c r="F129" s="12" t="n"/>
      <c r="G129" s="12" t="n"/>
      <c r="K129" s="13">
        <f>IF(I129="","",I129*J129)</f>
        <v/>
      </c>
      <c r="L129">
        <f>IF(F129="","",IF(G129&lt;&gt;"",MAX(0,G129-F129),IF(TODAY()&gt;F129,TODAY()-F129,0)))</f>
        <v/>
      </c>
      <c r="M129">
        <f>IF(B129="","",IF(AND(I129&gt;1.25*H129,L129&gt;0),"Over hours + late",IF(I129&gt;1.25*H129,"Over hours",IF(L129&gt;0,"Late","On track"))))</f>
        <v/>
      </c>
    </row>
    <row r="130">
      <c r="E130" s="12" t="n"/>
      <c r="F130" s="12" t="n"/>
      <c r="G130" s="12" t="n"/>
      <c r="K130" s="13">
        <f>IF(I130="","",I130*J130)</f>
        <v/>
      </c>
      <c r="L130">
        <f>IF(F130="","",IF(G130&lt;&gt;"",MAX(0,G130-F130),IF(TODAY()&gt;F130,TODAY()-F130,0)))</f>
        <v/>
      </c>
      <c r="M130">
        <f>IF(B130="","",IF(AND(I130&gt;1.25*H130,L130&gt;0),"Over hours + late",IF(I130&gt;1.25*H130,"Over hours",IF(L130&gt;0,"Late","On track"))))</f>
        <v/>
      </c>
    </row>
    <row r="131">
      <c r="E131" s="12" t="n"/>
      <c r="F131" s="12" t="n"/>
      <c r="G131" s="12" t="n"/>
      <c r="K131" s="13">
        <f>IF(I131="","",I131*J131)</f>
        <v/>
      </c>
      <c r="L131">
        <f>IF(F131="","",IF(G131&lt;&gt;"",MAX(0,G131-F131),IF(TODAY()&gt;F131,TODAY()-F131,0)))</f>
        <v/>
      </c>
      <c r="M131">
        <f>IF(B131="","",IF(AND(I131&gt;1.25*H131,L131&gt;0),"Over hours + late",IF(I131&gt;1.25*H131,"Over hours",IF(L131&gt;0,"Late","On track"))))</f>
        <v/>
      </c>
    </row>
    <row r="132">
      <c r="E132" s="12" t="n"/>
      <c r="F132" s="12" t="n"/>
      <c r="G132" s="12" t="n"/>
      <c r="K132" s="13">
        <f>IF(I132="","",I132*J132)</f>
        <v/>
      </c>
      <c r="L132">
        <f>IF(F132="","",IF(G132&lt;&gt;"",MAX(0,G132-F132),IF(TODAY()&gt;F132,TODAY()-F132,0)))</f>
        <v/>
      </c>
      <c r="M132">
        <f>IF(B132="","",IF(AND(I132&gt;1.25*H132,L132&gt;0),"Over hours + late",IF(I132&gt;1.25*H132,"Over hours",IF(L132&gt;0,"Late","On track"))))</f>
        <v/>
      </c>
    </row>
    <row r="133">
      <c r="E133" s="12" t="n"/>
      <c r="F133" s="12" t="n"/>
      <c r="G133" s="12" t="n"/>
      <c r="K133" s="13">
        <f>IF(I133="","",I133*J133)</f>
        <v/>
      </c>
      <c r="L133">
        <f>IF(F133="","",IF(G133&lt;&gt;"",MAX(0,G133-F133),IF(TODAY()&gt;F133,TODAY()-F133,0)))</f>
        <v/>
      </c>
      <c r="M133">
        <f>IF(B133="","",IF(AND(I133&gt;1.25*H133,L133&gt;0),"Over hours + late",IF(I133&gt;1.25*H133,"Over hours",IF(L133&gt;0,"Late","On track"))))</f>
        <v/>
      </c>
    </row>
    <row r="134">
      <c r="E134" s="12" t="n"/>
      <c r="F134" s="12" t="n"/>
      <c r="G134" s="12" t="n"/>
      <c r="K134" s="13">
        <f>IF(I134="","",I134*J134)</f>
        <v/>
      </c>
      <c r="L134">
        <f>IF(F134="","",IF(G134&lt;&gt;"",MAX(0,G134-F134),IF(TODAY()&gt;F134,TODAY()-F134,0)))</f>
        <v/>
      </c>
      <c r="M134">
        <f>IF(B134="","",IF(AND(I134&gt;1.25*H134,L134&gt;0),"Over hours + late",IF(I134&gt;1.25*H134,"Over hours",IF(L134&gt;0,"Late","On track"))))</f>
        <v/>
      </c>
    </row>
    <row r="135">
      <c r="E135" s="12" t="n"/>
      <c r="F135" s="12" t="n"/>
      <c r="G135" s="12" t="n"/>
      <c r="K135" s="13">
        <f>IF(I135="","",I135*J135)</f>
        <v/>
      </c>
      <c r="L135">
        <f>IF(F135="","",IF(G135&lt;&gt;"",MAX(0,G135-F135),IF(TODAY()&gt;F135,TODAY()-F135,0)))</f>
        <v/>
      </c>
      <c r="M135">
        <f>IF(B135="","",IF(AND(I135&gt;1.25*H135,L135&gt;0),"Over hours + late",IF(I135&gt;1.25*H135,"Over hours",IF(L135&gt;0,"Late","On track"))))</f>
        <v/>
      </c>
    </row>
    <row r="136">
      <c r="E136" s="12" t="n"/>
      <c r="F136" s="12" t="n"/>
      <c r="G136" s="12" t="n"/>
      <c r="K136" s="13">
        <f>IF(I136="","",I136*J136)</f>
        <v/>
      </c>
      <c r="L136">
        <f>IF(F136="","",IF(G136&lt;&gt;"",MAX(0,G136-F136),IF(TODAY()&gt;F136,TODAY()-F136,0)))</f>
        <v/>
      </c>
      <c r="M136">
        <f>IF(B136="","",IF(AND(I136&gt;1.25*H136,L136&gt;0),"Over hours + late",IF(I136&gt;1.25*H136,"Over hours",IF(L136&gt;0,"Late","On track"))))</f>
        <v/>
      </c>
    </row>
    <row r="137">
      <c r="E137" s="12" t="n"/>
      <c r="F137" s="12" t="n"/>
      <c r="G137" s="12" t="n"/>
      <c r="K137" s="13">
        <f>IF(I137="","",I137*J137)</f>
        <v/>
      </c>
      <c r="L137">
        <f>IF(F137="","",IF(G137&lt;&gt;"",MAX(0,G137-F137),IF(TODAY()&gt;F137,TODAY()-F137,0)))</f>
        <v/>
      </c>
      <c r="M137">
        <f>IF(B137="","",IF(AND(I137&gt;1.25*H137,L137&gt;0),"Over hours + late",IF(I137&gt;1.25*H137,"Over hours",IF(L137&gt;0,"Late","On track"))))</f>
        <v/>
      </c>
    </row>
    <row r="138">
      <c r="E138" s="12" t="n"/>
      <c r="F138" s="12" t="n"/>
      <c r="G138" s="12" t="n"/>
      <c r="K138" s="13">
        <f>IF(I138="","",I138*J138)</f>
        <v/>
      </c>
      <c r="L138">
        <f>IF(F138="","",IF(G138&lt;&gt;"",MAX(0,G138-F138),IF(TODAY()&gt;F138,TODAY()-F138,0)))</f>
        <v/>
      </c>
      <c r="M138">
        <f>IF(B138="","",IF(AND(I138&gt;1.25*H138,L138&gt;0),"Over hours + late",IF(I138&gt;1.25*H138,"Over hours",IF(L138&gt;0,"Late","On track"))))</f>
        <v/>
      </c>
    </row>
    <row r="139">
      <c r="E139" s="12" t="n"/>
      <c r="F139" s="12" t="n"/>
      <c r="G139" s="12" t="n"/>
      <c r="K139" s="13">
        <f>IF(I139="","",I139*J139)</f>
        <v/>
      </c>
      <c r="L139">
        <f>IF(F139="","",IF(G139&lt;&gt;"",MAX(0,G139-F139),IF(TODAY()&gt;F139,TODAY()-F139,0)))</f>
        <v/>
      </c>
      <c r="M139">
        <f>IF(B139="","",IF(AND(I139&gt;1.25*H139,L139&gt;0),"Over hours + late",IF(I139&gt;1.25*H139,"Over hours",IF(L139&gt;0,"Late","On track"))))</f>
        <v/>
      </c>
    </row>
    <row r="140">
      <c r="E140" s="12" t="n"/>
      <c r="F140" s="12" t="n"/>
      <c r="G140" s="12" t="n"/>
      <c r="K140" s="13">
        <f>IF(I140="","",I140*J140)</f>
        <v/>
      </c>
      <c r="L140">
        <f>IF(F140="","",IF(G140&lt;&gt;"",MAX(0,G140-F140),IF(TODAY()&gt;F140,TODAY()-F140,0)))</f>
        <v/>
      </c>
      <c r="M140">
        <f>IF(B140="","",IF(AND(I140&gt;1.25*H140,L140&gt;0),"Over hours + late",IF(I140&gt;1.25*H140,"Over hours",IF(L140&gt;0,"Late","On track"))))</f>
        <v/>
      </c>
    </row>
    <row r="141">
      <c r="E141" s="12" t="n"/>
      <c r="F141" s="12" t="n"/>
      <c r="G141" s="12" t="n"/>
      <c r="K141" s="13">
        <f>IF(I141="","",I141*J141)</f>
        <v/>
      </c>
      <c r="L141">
        <f>IF(F141="","",IF(G141&lt;&gt;"",MAX(0,G141-F141),IF(TODAY()&gt;F141,TODAY()-F141,0)))</f>
        <v/>
      </c>
      <c r="M141">
        <f>IF(B141="","",IF(AND(I141&gt;1.25*H141,L141&gt;0),"Over hours + late",IF(I141&gt;1.25*H141,"Over hours",IF(L141&gt;0,"Late","On track"))))</f>
        <v/>
      </c>
    </row>
    <row r="142">
      <c r="E142" s="12" t="n"/>
      <c r="F142" s="12" t="n"/>
      <c r="G142" s="12" t="n"/>
      <c r="K142" s="13">
        <f>IF(I142="","",I142*J142)</f>
        <v/>
      </c>
      <c r="L142">
        <f>IF(F142="","",IF(G142&lt;&gt;"",MAX(0,G142-F142),IF(TODAY()&gt;F142,TODAY()-F142,0)))</f>
        <v/>
      </c>
      <c r="M142">
        <f>IF(B142="","",IF(AND(I142&gt;1.25*H142,L142&gt;0),"Over hours + late",IF(I142&gt;1.25*H142,"Over hours",IF(L142&gt;0,"Late","On track"))))</f>
        <v/>
      </c>
    </row>
    <row r="143">
      <c r="E143" s="12" t="n"/>
      <c r="F143" s="12" t="n"/>
      <c r="G143" s="12" t="n"/>
      <c r="K143" s="13">
        <f>IF(I143="","",I143*J143)</f>
        <v/>
      </c>
      <c r="L143">
        <f>IF(F143="","",IF(G143&lt;&gt;"",MAX(0,G143-F143),IF(TODAY()&gt;F143,TODAY()-F143,0)))</f>
        <v/>
      </c>
      <c r="M143">
        <f>IF(B143="","",IF(AND(I143&gt;1.25*H143,L143&gt;0),"Over hours + late",IF(I143&gt;1.25*H143,"Over hours",IF(L143&gt;0,"Late","On track"))))</f>
        <v/>
      </c>
    </row>
    <row r="144">
      <c r="E144" s="12" t="n"/>
      <c r="F144" s="12" t="n"/>
      <c r="G144" s="12" t="n"/>
      <c r="K144" s="13">
        <f>IF(I144="","",I144*J144)</f>
        <v/>
      </c>
      <c r="L144">
        <f>IF(F144="","",IF(G144&lt;&gt;"",MAX(0,G144-F144),IF(TODAY()&gt;F144,TODAY()-F144,0)))</f>
        <v/>
      </c>
      <c r="M144">
        <f>IF(B144="","",IF(AND(I144&gt;1.25*H144,L144&gt;0),"Over hours + late",IF(I144&gt;1.25*H144,"Over hours",IF(L144&gt;0,"Late","On track"))))</f>
        <v/>
      </c>
    </row>
    <row r="145">
      <c r="E145" s="12" t="n"/>
      <c r="F145" s="12" t="n"/>
      <c r="G145" s="12" t="n"/>
      <c r="K145" s="13">
        <f>IF(I145="","",I145*J145)</f>
        <v/>
      </c>
      <c r="L145">
        <f>IF(F145="","",IF(G145&lt;&gt;"",MAX(0,G145-F145),IF(TODAY()&gt;F145,TODAY()-F145,0)))</f>
        <v/>
      </c>
      <c r="M145">
        <f>IF(B145="","",IF(AND(I145&gt;1.25*H145,L145&gt;0),"Over hours + late",IF(I145&gt;1.25*H145,"Over hours",IF(L145&gt;0,"Late","On track"))))</f>
        <v/>
      </c>
    </row>
    <row r="146">
      <c r="E146" s="12" t="n"/>
      <c r="F146" s="12" t="n"/>
      <c r="G146" s="12" t="n"/>
      <c r="K146" s="13">
        <f>IF(I146="","",I146*J146)</f>
        <v/>
      </c>
      <c r="L146">
        <f>IF(F146="","",IF(G146&lt;&gt;"",MAX(0,G146-F146),IF(TODAY()&gt;F146,TODAY()-F146,0)))</f>
        <v/>
      </c>
      <c r="M146">
        <f>IF(B146="","",IF(AND(I146&gt;1.25*H146,L146&gt;0),"Over hours + late",IF(I146&gt;1.25*H146,"Over hours",IF(L146&gt;0,"Late","On track"))))</f>
        <v/>
      </c>
    </row>
    <row r="147">
      <c r="E147" s="12" t="n"/>
      <c r="F147" s="12" t="n"/>
      <c r="G147" s="12" t="n"/>
      <c r="K147" s="13">
        <f>IF(I147="","",I147*J147)</f>
        <v/>
      </c>
      <c r="L147">
        <f>IF(F147="","",IF(G147&lt;&gt;"",MAX(0,G147-F147),IF(TODAY()&gt;F147,TODAY()-F147,0)))</f>
        <v/>
      </c>
      <c r="M147">
        <f>IF(B147="","",IF(AND(I147&gt;1.25*H147,L147&gt;0),"Over hours + late",IF(I147&gt;1.25*H147,"Over hours",IF(L147&gt;0,"Late","On track"))))</f>
        <v/>
      </c>
    </row>
    <row r="148">
      <c r="E148" s="12" t="n"/>
      <c r="F148" s="12" t="n"/>
      <c r="G148" s="12" t="n"/>
      <c r="K148" s="13">
        <f>IF(I148="","",I148*J148)</f>
        <v/>
      </c>
      <c r="L148">
        <f>IF(F148="","",IF(G148&lt;&gt;"",MAX(0,G148-F148),IF(TODAY()&gt;F148,TODAY()-F148,0)))</f>
        <v/>
      </c>
      <c r="M148">
        <f>IF(B148="","",IF(AND(I148&gt;1.25*H148,L148&gt;0),"Over hours + late",IF(I148&gt;1.25*H148,"Over hours",IF(L148&gt;0,"Late","On track"))))</f>
        <v/>
      </c>
    </row>
    <row r="149">
      <c r="E149" s="12" t="n"/>
      <c r="F149" s="12" t="n"/>
      <c r="G149" s="12" t="n"/>
      <c r="K149" s="13">
        <f>IF(I149="","",I149*J149)</f>
        <v/>
      </c>
      <c r="L149">
        <f>IF(F149="","",IF(G149&lt;&gt;"",MAX(0,G149-F149),IF(TODAY()&gt;F149,TODAY()-F149,0)))</f>
        <v/>
      </c>
      <c r="M149">
        <f>IF(B149="","",IF(AND(I149&gt;1.25*H149,L149&gt;0),"Over hours + late",IF(I149&gt;1.25*H149,"Over hours",IF(L149&gt;0,"Late","On track"))))</f>
        <v/>
      </c>
    </row>
    <row r="150">
      <c r="E150" s="12" t="n"/>
      <c r="F150" s="12" t="n"/>
      <c r="G150" s="12" t="n"/>
      <c r="K150" s="13">
        <f>IF(I150="","",I150*J150)</f>
        <v/>
      </c>
      <c r="L150">
        <f>IF(F150="","",IF(G150&lt;&gt;"",MAX(0,G150-F150),IF(TODAY()&gt;F150,TODAY()-F150,0)))</f>
        <v/>
      </c>
      <c r="M150">
        <f>IF(B150="","",IF(AND(I150&gt;1.25*H150,L150&gt;0),"Over hours + late",IF(I150&gt;1.25*H150,"Over hours",IF(L150&gt;0,"Late","On track"))))</f>
        <v/>
      </c>
    </row>
    <row r="151">
      <c r="E151" s="12" t="n"/>
      <c r="F151" s="12" t="n"/>
      <c r="G151" s="12" t="n"/>
      <c r="K151" s="13">
        <f>IF(I151="","",I151*J151)</f>
        <v/>
      </c>
      <c r="L151">
        <f>IF(F151="","",IF(G151&lt;&gt;"",MAX(0,G151-F151),IF(TODAY()&gt;F151,TODAY()-F151,0)))</f>
        <v/>
      </c>
      <c r="M151">
        <f>IF(B151="","",IF(AND(I151&gt;1.25*H151,L151&gt;0),"Over hours + late",IF(I151&gt;1.25*H151,"Over hours",IF(L151&gt;0,"Late","On track"))))</f>
        <v/>
      </c>
    </row>
    <row r="152">
      <c r="E152" s="12" t="n"/>
      <c r="F152" s="12" t="n"/>
      <c r="G152" s="12" t="n"/>
      <c r="K152" s="13">
        <f>IF(I152="","",I152*J152)</f>
        <v/>
      </c>
      <c r="L152">
        <f>IF(F152="","",IF(G152&lt;&gt;"",MAX(0,G152-F152),IF(TODAY()&gt;F152,TODAY()-F152,0)))</f>
        <v/>
      </c>
      <c r="M152">
        <f>IF(B152="","",IF(AND(I152&gt;1.25*H152,L152&gt;0),"Over hours + late",IF(I152&gt;1.25*H152,"Over hours",IF(L152&gt;0,"Late","On track"))))</f>
        <v/>
      </c>
    </row>
    <row r="153">
      <c r="E153" s="12" t="n"/>
      <c r="F153" s="12" t="n"/>
      <c r="G153" s="12" t="n"/>
      <c r="K153" s="13">
        <f>IF(I153="","",I153*J153)</f>
        <v/>
      </c>
      <c r="L153">
        <f>IF(F153="","",IF(G153&lt;&gt;"",MAX(0,G153-F153),IF(TODAY()&gt;F153,TODAY()-F153,0)))</f>
        <v/>
      </c>
      <c r="M153">
        <f>IF(B153="","",IF(AND(I153&gt;1.25*H153,L153&gt;0),"Over hours + late",IF(I153&gt;1.25*H153,"Over hours",IF(L153&gt;0,"Late","On track"))))</f>
        <v/>
      </c>
    </row>
    <row r="154">
      <c r="E154" s="12" t="n"/>
      <c r="F154" s="12" t="n"/>
      <c r="G154" s="12" t="n"/>
      <c r="K154" s="13">
        <f>IF(I154="","",I154*J154)</f>
        <v/>
      </c>
      <c r="L154">
        <f>IF(F154="","",IF(G154&lt;&gt;"",MAX(0,G154-F154),IF(TODAY()&gt;F154,TODAY()-F154,0)))</f>
        <v/>
      </c>
      <c r="M154">
        <f>IF(B154="","",IF(AND(I154&gt;1.25*H154,L154&gt;0),"Over hours + late",IF(I154&gt;1.25*H154,"Over hours",IF(L154&gt;0,"Late","On track"))))</f>
        <v/>
      </c>
    </row>
    <row r="155">
      <c r="E155" s="12" t="n"/>
      <c r="F155" s="12" t="n"/>
      <c r="G155" s="12" t="n"/>
      <c r="K155" s="13">
        <f>IF(I155="","",I155*J155)</f>
        <v/>
      </c>
      <c r="L155">
        <f>IF(F155="","",IF(G155&lt;&gt;"",MAX(0,G155-F155),IF(TODAY()&gt;F155,TODAY()-F155,0)))</f>
        <v/>
      </c>
      <c r="M155">
        <f>IF(B155="","",IF(AND(I155&gt;1.25*H155,L155&gt;0),"Over hours + late",IF(I155&gt;1.25*H155,"Over hours",IF(L155&gt;0,"Late","On track"))))</f>
        <v/>
      </c>
    </row>
    <row r="156">
      <c r="E156" s="12" t="n"/>
      <c r="F156" s="12" t="n"/>
      <c r="G156" s="12" t="n"/>
      <c r="K156" s="13">
        <f>IF(I156="","",I156*J156)</f>
        <v/>
      </c>
      <c r="L156">
        <f>IF(F156="","",IF(G156&lt;&gt;"",MAX(0,G156-F156),IF(TODAY()&gt;F156,TODAY()-F156,0)))</f>
        <v/>
      </c>
      <c r="M156">
        <f>IF(B156="","",IF(AND(I156&gt;1.25*H156,L156&gt;0),"Over hours + late",IF(I156&gt;1.25*H156,"Over hours",IF(L156&gt;0,"Late","On track"))))</f>
        <v/>
      </c>
    </row>
    <row r="157">
      <c r="E157" s="12" t="n"/>
      <c r="F157" s="12" t="n"/>
      <c r="G157" s="12" t="n"/>
      <c r="K157" s="13">
        <f>IF(I157="","",I157*J157)</f>
        <v/>
      </c>
      <c r="L157">
        <f>IF(F157="","",IF(G157&lt;&gt;"",MAX(0,G157-F157),IF(TODAY()&gt;F157,TODAY()-F157,0)))</f>
        <v/>
      </c>
      <c r="M157">
        <f>IF(B157="","",IF(AND(I157&gt;1.25*H157,L157&gt;0),"Over hours + late",IF(I157&gt;1.25*H157,"Over hours",IF(L157&gt;0,"Late","On track"))))</f>
        <v/>
      </c>
    </row>
    <row r="158">
      <c r="E158" s="12" t="n"/>
      <c r="F158" s="12" t="n"/>
      <c r="G158" s="12" t="n"/>
      <c r="K158" s="13">
        <f>IF(I158="","",I158*J158)</f>
        <v/>
      </c>
      <c r="L158">
        <f>IF(F158="","",IF(G158&lt;&gt;"",MAX(0,G158-F158),IF(TODAY()&gt;F158,TODAY()-F158,0)))</f>
        <v/>
      </c>
      <c r="M158">
        <f>IF(B158="","",IF(AND(I158&gt;1.25*H158,L158&gt;0),"Over hours + late",IF(I158&gt;1.25*H158,"Over hours",IF(L158&gt;0,"Late","On track"))))</f>
        <v/>
      </c>
    </row>
    <row r="159">
      <c r="E159" s="12" t="n"/>
      <c r="F159" s="12" t="n"/>
      <c r="G159" s="12" t="n"/>
      <c r="K159" s="13">
        <f>IF(I159="","",I159*J159)</f>
        <v/>
      </c>
      <c r="L159">
        <f>IF(F159="","",IF(G159&lt;&gt;"",MAX(0,G159-F159),IF(TODAY()&gt;F159,TODAY()-F159,0)))</f>
        <v/>
      </c>
      <c r="M159">
        <f>IF(B159="","",IF(AND(I159&gt;1.25*H159,L159&gt;0),"Over hours + late",IF(I159&gt;1.25*H159,"Over hours",IF(L159&gt;0,"Late","On track"))))</f>
        <v/>
      </c>
    </row>
    <row r="160">
      <c r="E160" s="12" t="n"/>
      <c r="F160" s="12" t="n"/>
      <c r="G160" s="12" t="n"/>
      <c r="K160" s="13">
        <f>IF(I160="","",I160*J160)</f>
        <v/>
      </c>
      <c r="L160">
        <f>IF(F160="","",IF(G160&lt;&gt;"",MAX(0,G160-F160),IF(TODAY()&gt;F160,TODAY()-F160,0)))</f>
        <v/>
      </c>
      <c r="M160">
        <f>IF(B160="","",IF(AND(I160&gt;1.25*H160,L160&gt;0),"Over hours + late",IF(I160&gt;1.25*H160,"Over hours",IF(L160&gt;0,"Late","On track"))))</f>
        <v/>
      </c>
    </row>
    <row r="161">
      <c r="E161" s="12" t="n"/>
      <c r="F161" s="12" t="n"/>
      <c r="G161" s="12" t="n"/>
      <c r="K161" s="13">
        <f>IF(I161="","",I161*J161)</f>
        <v/>
      </c>
      <c r="L161">
        <f>IF(F161="","",IF(G161&lt;&gt;"",MAX(0,G161-F161),IF(TODAY()&gt;F161,TODAY()-F161,0)))</f>
        <v/>
      </c>
      <c r="M161">
        <f>IF(B161="","",IF(AND(I161&gt;1.25*H161,L161&gt;0),"Over hours + late",IF(I161&gt;1.25*H161,"Over hours",IF(L161&gt;0,"Late","On track"))))</f>
        <v/>
      </c>
    </row>
    <row r="162">
      <c r="E162" s="12" t="n"/>
      <c r="F162" s="12" t="n"/>
      <c r="G162" s="12" t="n"/>
      <c r="K162" s="13">
        <f>IF(I162="","",I162*J162)</f>
        <v/>
      </c>
      <c r="L162">
        <f>IF(F162="","",IF(G162&lt;&gt;"",MAX(0,G162-F162),IF(TODAY()&gt;F162,TODAY()-F162,0)))</f>
        <v/>
      </c>
      <c r="M162">
        <f>IF(B162="","",IF(AND(I162&gt;1.25*H162,L162&gt;0),"Over hours + late",IF(I162&gt;1.25*H162,"Over hours",IF(L162&gt;0,"Late","On track"))))</f>
        <v/>
      </c>
    </row>
    <row r="163">
      <c r="E163" s="12" t="n"/>
      <c r="F163" s="12" t="n"/>
      <c r="G163" s="12" t="n"/>
      <c r="K163" s="13">
        <f>IF(I163="","",I163*J163)</f>
        <v/>
      </c>
      <c r="L163">
        <f>IF(F163="","",IF(G163&lt;&gt;"",MAX(0,G163-F163),IF(TODAY()&gt;F163,TODAY()-F163,0)))</f>
        <v/>
      </c>
      <c r="M163">
        <f>IF(B163="","",IF(AND(I163&gt;1.25*H163,L163&gt;0),"Over hours + late",IF(I163&gt;1.25*H163,"Over hours",IF(L163&gt;0,"Late","On track"))))</f>
        <v/>
      </c>
    </row>
    <row r="164">
      <c r="E164" s="12" t="n"/>
      <c r="F164" s="12" t="n"/>
      <c r="G164" s="12" t="n"/>
      <c r="K164" s="13">
        <f>IF(I164="","",I164*J164)</f>
        <v/>
      </c>
      <c r="L164">
        <f>IF(F164="","",IF(G164&lt;&gt;"",MAX(0,G164-F164),IF(TODAY()&gt;F164,TODAY()-F164,0)))</f>
        <v/>
      </c>
      <c r="M164">
        <f>IF(B164="","",IF(AND(I164&gt;1.25*H164,L164&gt;0),"Over hours + late",IF(I164&gt;1.25*H164,"Over hours",IF(L164&gt;0,"Late","On track"))))</f>
        <v/>
      </c>
    </row>
    <row r="165">
      <c r="E165" s="12" t="n"/>
      <c r="F165" s="12" t="n"/>
      <c r="G165" s="12" t="n"/>
      <c r="K165" s="13">
        <f>IF(I165="","",I165*J165)</f>
        <v/>
      </c>
      <c r="L165">
        <f>IF(F165="","",IF(G165&lt;&gt;"",MAX(0,G165-F165),IF(TODAY()&gt;F165,TODAY()-F165,0)))</f>
        <v/>
      </c>
      <c r="M165">
        <f>IF(B165="","",IF(AND(I165&gt;1.25*H165,L165&gt;0),"Over hours + late",IF(I165&gt;1.25*H165,"Over hours",IF(L165&gt;0,"Late","On track"))))</f>
        <v/>
      </c>
    </row>
    <row r="166">
      <c r="E166" s="12" t="n"/>
      <c r="F166" s="12" t="n"/>
      <c r="G166" s="12" t="n"/>
      <c r="K166" s="13">
        <f>IF(I166="","",I166*J166)</f>
        <v/>
      </c>
      <c r="L166">
        <f>IF(F166="","",IF(G166&lt;&gt;"",MAX(0,G166-F166),IF(TODAY()&gt;F166,TODAY()-F166,0)))</f>
        <v/>
      </c>
      <c r="M166">
        <f>IF(B166="","",IF(AND(I166&gt;1.25*H166,L166&gt;0),"Over hours + late",IF(I166&gt;1.25*H166,"Over hours",IF(L166&gt;0,"Late","On track"))))</f>
        <v/>
      </c>
    </row>
    <row r="167">
      <c r="E167" s="12" t="n"/>
      <c r="F167" s="12" t="n"/>
      <c r="G167" s="12" t="n"/>
      <c r="K167" s="13">
        <f>IF(I167="","",I167*J167)</f>
        <v/>
      </c>
      <c r="L167">
        <f>IF(F167="","",IF(G167&lt;&gt;"",MAX(0,G167-F167),IF(TODAY()&gt;F167,TODAY()-F167,0)))</f>
        <v/>
      </c>
      <c r="M167">
        <f>IF(B167="","",IF(AND(I167&gt;1.25*H167,L167&gt;0),"Over hours + late",IF(I167&gt;1.25*H167,"Over hours",IF(L167&gt;0,"Late","On track"))))</f>
        <v/>
      </c>
    </row>
    <row r="168">
      <c r="E168" s="12" t="n"/>
      <c r="F168" s="12" t="n"/>
      <c r="G168" s="12" t="n"/>
      <c r="K168" s="13">
        <f>IF(I168="","",I168*J168)</f>
        <v/>
      </c>
      <c r="L168">
        <f>IF(F168="","",IF(G168&lt;&gt;"",MAX(0,G168-F168),IF(TODAY()&gt;F168,TODAY()-F168,0)))</f>
        <v/>
      </c>
      <c r="M168">
        <f>IF(B168="","",IF(AND(I168&gt;1.25*H168,L168&gt;0),"Over hours + late",IF(I168&gt;1.25*H168,"Over hours",IF(L168&gt;0,"Late","On track"))))</f>
        <v/>
      </c>
    </row>
    <row r="169">
      <c r="E169" s="12" t="n"/>
      <c r="F169" s="12" t="n"/>
      <c r="G169" s="12" t="n"/>
      <c r="K169" s="13">
        <f>IF(I169="","",I169*J169)</f>
        <v/>
      </c>
      <c r="L169">
        <f>IF(F169="","",IF(G169&lt;&gt;"",MAX(0,G169-F169),IF(TODAY()&gt;F169,TODAY()-F169,0)))</f>
        <v/>
      </c>
      <c r="M169">
        <f>IF(B169="","",IF(AND(I169&gt;1.25*H169,L169&gt;0),"Over hours + late",IF(I169&gt;1.25*H169,"Over hours",IF(L169&gt;0,"Late","On track"))))</f>
        <v/>
      </c>
    </row>
    <row r="170">
      <c r="E170" s="12" t="n"/>
      <c r="F170" s="12" t="n"/>
      <c r="G170" s="12" t="n"/>
      <c r="K170" s="13">
        <f>IF(I170="","",I170*J170)</f>
        <v/>
      </c>
      <c r="L170">
        <f>IF(F170="","",IF(G170&lt;&gt;"",MAX(0,G170-F170),IF(TODAY()&gt;F170,TODAY()-F170,0)))</f>
        <v/>
      </c>
      <c r="M170">
        <f>IF(B170="","",IF(AND(I170&gt;1.25*H170,L170&gt;0),"Over hours + late",IF(I170&gt;1.25*H170,"Over hours",IF(L170&gt;0,"Late","On track"))))</f>
        <v/>
      </c>
    </row>
    <row r="171">
      <c r="E171" s="12" t="n"/>
      <c r="F171" s="12" t="n"/>
      <c r="G171" s="12" t="n"/>
      <c r="K171" s="13">
        <f>IF(I171="","",I171*J171)</f>
        <v/>
      </c>
      <c r="L171">
        <f>IF(F171="","",IF(G171&lt;&gt;"",MAX(0,G171-F171),IF(TODAY()&gt;F171,TODAY()-F171,0)))</f>
        <v/>
      </c>
      <c r="M171">
        <f>IF(B171="","",IF(AND(I171&gt;1.25*H171,L171&gt;0),"Over hours + late",IF(I171&gt;1.25*H171,"Over hours",IF(L171&gt;0,"Late","On track"))))</f>
        <v/>
      </c>
    </row>
    <row r="172">
      <c r="E172" s="12" t="n"/>
      <c r="F172" s="12" t="n"/>
      <c r="G172" s="12" t="n"/>
      <c r="K172" s="13">
        <f>IF(I172="","",I172*J172)</f>
        <v/>
      </c>
      <c r="L172">
        <f>IF(F172="","",IF(G172&lt;&gt;"",MAX(0,G172-F172),IF(TODAY()&gt;F172,TODAY()-F172,0)))</f>
        <v/>
      </c>
      <c r="M172">
        <f>IF(B172="","",IF(AND(I172&gt;1.25*H172,L172&gt;0),"Over hours + late",IF(I172&gt;1.25*H172,"Over hours",IF(L172&gt;0,"Late","On track"))))</f>
        <v/>
      </c>
    </row>
    <row r="173">
      <c r="E173" s="12" t="n"/>
      <c r="F173" s="12" t="n"/>
      <c r="G173" s="12" t="n"/>
      <c r="K173" s="13">
        <f>IF(I173="","",I173*J173)</f>
        <v/>
      </c>
      <c r="L173">
        <f>IF(F173="","",IF(G173&lt;&gt;"",MAX(0,G173-F173),IF(TODAY()&gt;F173,TODAY()-F173,0)))</f>
        <v/>
      </c>
      <c r="M173">
        <f>IF(B173="","",IF(AND(I173&gt;1.25*H173,L173&gt;0),"Over hours + late",IF(I173&gt;1.25*H173,"Over hours",IF(L173&gt;0,"Late","On track"))))</f>
        <v/>
      </c>
    </row>
    <row r="174">
      <c r="E174" s="12" t="n"/>
      <c r="F174" s="12" t="n"/>
      <c r="G174" s="12" t="n"/>
      <c r="K174" s="13">
        <f>IF(I174="","",I174*J174)</f>
        <v/>
      </c>
      <c r="L174">
        <f>IF(F174="","",IF(G174&lt;&gt;"",MAX(0,G174-F174),IF(TODAY()&gt;F174,TODAY()-F174,0)))</f>
        <v/>
      </c>
      <c r="M174">
        <f>IF(B174="","",IF(AND(I174&gt;1.25*H174,L174&gt;0),"Over hours + late",IF(I174&gt;1.25*H174,"Over hours",IF(L174&gt;0,"Late","On track"))))</f>
        <v/>
      </c>
    </row>
    <row r="175">
      <c r="E175" s="12" t="n"/>
      <c r="F175" s="12" t="n"/>
      <c r="G175" s="12" t="n"/>
      <c r="K175" s="13">
        <f>IF(I175="","",I175*J175)</f>
        <v/>
      </c>
      <c r="L175">
        <f>IF(F175="","",IF(G175&lt;&gt;"",MAX(0,G175-F175),IF(TODAY()&gt;F175,TODAY()-F175,0)))</f>
        <v/>
      </c>
      <c r="M175">
        <f>IF(B175="","",IF(AND(I175&gt;1.25*H175,L175&gt;0),"Over hours + late",IF(I175&gt;1.25*H175,"Over hours",IF(L175&gt;0,"Late","On track"))))</f>
        <v/>
      </c>
    </row>
    <row r="176">
      <c r="E176" s="12" t="n"/>
      <c r="F176" s="12" t="n"/>
      <c r="G176" s="12" t="n"/>
      <c r="K176" s="13">
        <f>IF(I176="","",I176*J176)</f>
        <v/>
      </c>
      <c r="L176">
        <f>IF(F176="","",IF(G176&lt;&gt;"",MAX(0,G176-F176),IF(TODAY()&gt;F176,TODAY()-F176,0)))</f>
        <v/>
      </c>
      <c r="M176">
        <f>IF(B176="","",IF(AND(I176&gt;1.25*H176,L176&gt;0),"Over hours + late",IF(I176&gt;1.25*H176,"Over hours",IF(L176&gt;0,"Late","On track"))))</f>
        <v/>
      </c>
    </row>
    <row r="177">
      <c r="E177" s="12" t="n"/>
      <c r="F177" s="12" t="n"/>
      <c r="G177" s="12" t="n"/>
      <c r="K177" s="13">
        <f>IF(I177="","",I177*J177)</f>
        <v/>
      </c>
      <c r="L177">
        <f>IF(F177="","",IF(G177&lt;&gt;"",MAX(0,G177-F177),IF(TODAY()&gt;F177,TODAY()-F177,0)))</f>
        <v/>
      </c>
      <c r="M177">
        <f>IF(B177="","",IF(AND(I177&gt;1.25*H177,L177&gt;0),"Over hours + late",IF(I177&gt;1.25*H177,"Over hours",IF(L177&gt;0,"Late","On track"))))</f>
        <v/>
      </c>
    </row>
    <row r="178">
      <c r="E178" s="12" t="n"/>
      <c r="F178" s="12" t="n"/>
      <c r="G178" s="12" t="n"/>
      <c r="K178" s="13">
        <f>IF(I178="","",I178*J178)</f>
        <v/>
      </c>
      <c r="L178">
        <f>IF(F178="","",IF(G178&lt;&gt;"",MAX(0,G178-F178),IF(TODAY()&gt;F178,TODAY()-F178,0)))</f>
        <v/>
      </c>
      <c r="M178">
        <f>IF(B178="","",IF(AND(I178&gt;1.25*H178,L178&gt;0),"Over hours + late",IF(I178&gt;1.25*H178,"Over hours",IF(L178&gt;0,"Late","On track"))))</f>
        <v/>
      </c>
    </row>
    <row r="179">
      <c r="E179" s="12" t="n"/>
      <c r="F179" s="12" t="n"/>
      <c r="G179" s="12" t="n"/>
      <c r="K179" s="13">
        <f>IF(I179="","",I179*J179)</f>
        <v/>
      </c>
      <c r="L179">
        <f>IF(F179="","",IF(G179&lt;&gt;"",MAX(0,G179-F179),IF(TODAY()&gt;F179,TODAY()-F179,0)))</f>
        <v/>
      </c>
      <c r="M179">
        <f>IF(B179="","",IF(AND(I179&gt;1.25*H179,L179&gt;0),"Over hours + late",IF(I179&gt;1.25*H179,"Over hours",IF(L179&gt;0,"Late","On track"))))</f>
        <v/>
      </c>
    </row>
    <row r="180">
      <c r="E180" s="12" t="n"/>
      <c r="F180" s="12" t="n"/>
      <c r="G180" s="12" t="n"/>
      <c r="K180" s="13">
        <f>IF(I180="","",I180*J180)</f>
        <v/>
      </c>
      <c r="L180">
        <f>IF(F180="","",IF(G180&lt;&gt;"",MAX(0,G180-F180),IF(TODAY()&gt;F180,TODAY()-F180,0)))</f>
        <v/>
      </c>
      <c r="M180">
        <f>IF(B180="","",IF(AND(I180&gt;1.25*H180,L180&gt;0),"Over hours + late",IF(I180&gt;1.25*H180,"Over hours",IF(L180&gt;0,"Late","On track"))))</f>
        <v/>
      </c>
    </row>
    <row r="181">
      <c r="E181" s="12" t="n"/>
      <c r="F181" s="12" t="n"/>
      <c r="G181" s="12" t="n"/>
      <c r="K181" s="13">
        <f>IF(I181="","",I181*J181)</f>
        <v/>
      </c>
      <c r="L181">
        <f>IF(F181="","",IF(G181&lt;&gt;"",MAX(0,G181-F181),IF(TODAY()&gt;F181,TODAY()-F181,0)))</f>
        <v/>
      </c>
      <c r="M181">
        <f>IF(B181="","",IF(AND(I181&gt;1.25*H181,L181&gt;0),"Over hours + late",IF(I181&gt;1.25*H181,"Over hours",IF(L181&gt;0,"Late","On track"))))</f>
        <v/>
      </c>
    </row>
    <row r="182">
      <c r="E182" s="12" t="n"/>
      <c r="F182" s="12" t="n"/>
      <c r="G182" s="12" t="n"/>
      <c r="K182" s="13">
        <f>IF(I182="","",I182*J182)</f>
        <v/>
      </c>
      <c r="L182">
        <f>IF(F182="","",IF(G182&lt;&gt;"",MAX(0,G182-F182),IF(TODAY()&gt;F182,TODAY()-F182,0)))</f>
        <v/>
      </c>
      <c r="M182">
        <f>IF(B182="","",IF(AND(I182&gt;1.25*H182,L182&gt;0),"Over hours + late",IF(I182&gt;1.25*H182,"Over hours",IF(L182&gt;0,"Late","On track"))))</f>
        <v/>
      </c>
    </row>
    <row r="183">
      <c r="E183" s="12" t="n"/>
      <c r="F183" s="12" t="n"/>
      <c r="G183" s="12" t="n"/>
      <c r="K183" s="13">
        <f>IF(I183="","",I183*J183)</f>
        <v/>
      </c>
      <c r="L183">
        <f>IF(F183="","",IF(G183&lt;&gt;"",MAX(0,G183-F183),IF(TODAY()&gt;F183,TODAY()-F183,0)))</f>
        <v/>
      </c>
      <c r="M183">
        <f>IF(B183="","",IF(AND(I183&gt;1.25*H183,L183&gt;0),"Over hours + late",IF(I183&gt;1.25*H183,"Over hours",IF(L183&gt;0,"Late","On track"))))</f>
        <v/>
      </c>
    </row>
    <row r="184">
      <c r="E184" s="12" t="n"/>
      <c r="F184" s="12" t="n"/>
      <c r="G184" s="12" t="n"/>
      <c r="K184" s="13">
        <f>IF(I184="","",I184*J184)</f>
        <v/>
      </c>
      <c r="L184">
        <f>IF(F184="","",IF(G184&lt;&gt;"",MAX(0,G184-F184),IF(TODAY()&gt;F184,TODAY()-F184,0)))</f>
        <v/>
      </c>
      <c r="M184">
        <f>IF(B184="","",IF(AND(I184&gt;1.25*H184,L184&gt;0),"Over hours + late",IF(I184&gt;1.25*H184,"Over hours",IF(L184&gt;0,"Late","On track"))))</f>
        <v/>
      </c>
    </row>
    <row r="185">
      <c r="E185" s="12" t="n"/>
      <c r="F185" s="12" t="n"/>
      <c r="G185" s="12" t="n"/>
      <c r="K185" s="13">
        <f>IF(I185="","",I185*J185)</f>
        <v/>
      </c>
      <c r="L185">
        <f>IF(F185="","",IF(G185&lt;&gt;"",MAX(0,G185-F185),IF(TODAY()&gt;F185,TODAY()-F185,0)))</f>
        <v/>
      </c>
      <c r="M185">
        <f>IF(B185="","",IF(AND(I185&gt;1.25*H185,L185&gt;0),"Over hours + late",IF(I185&gt;1.25*H185,"Over hours",IF(L185&gt;0,"Late","On track"))))</f>
        <v/>
      </c>
    </row>
    <row r="186">
      <c r="E186" s="12" t="n"/>
      <c r="F186" s="12" t="n"/>
      <c r="G186" s="12" t="n"/>
      <c r="K186" s="13">
        <f>IF(I186="","",I186*J186)</f>
        <v/>
      </c>
      <c r="L186">
        <f>IF(F186="","",IF(G186&lt;&gt;"",MAX(0,G186-F186),IF(TODAY()&gt;F186,TODAY()-F186,0)))</f>
        <v/>
      </c>
      <c r="M186">
        <f>IF(B186="","",IF(AND(I186&gt;1.25*H186,L186&gt;0),"Over hours + late",IF(I186&gt;1.25*H186,"Over hours",IF(L186&gt;0,"Late","On track"))))</f>
        <v/>
      </c>
    </row>
    <row r="187">
      <c r="E187" s="12" t="n"/>
      <c r="F187" s="12" t="n"/>
      <c r="G187" s="12" t="n"/>
      <c r="K187" s="13">
        <f>IF(I187="","",I187*J187)</f>
        <v/>
      </c>
      <c r="L187">
        <f>IF(F187="","",IF(G187&lt;&gt;"",MAX(0,G187-F187),IF(TODAY()&gt;F187,TODAY()-F187,0)))</f>
        <v/>
      </c>
      <c r="M187">
        <f>IF(B187="","",IF(AND(I187&gt;1.25*H187,L187&gt;0),"Over hours + late",IF(I187&gt;1.25*H187,"Over hours",IF(L187&gt;0,"Late","On track"))))</f>
        <v/>
      </c>
    </row>
    <row r="188">
      <c r="E188" s="12" t="n"/>
      <c r="F188" s="12" t="n"/>
      <c r="G188" s="12" t="n"/>
      <c r="K188" s="13">
        <f>IF(I188="","",I188*J188)</f>
        <v/>
      </c>
      <c r="L188">
        <f>IF(F188="","",IF(G188&lt;&gt;"",MAX(0,G188-F188),IF(TODAY()&gt;F188,TODAY()-F188,0)))</f>
        <v/>
      </c>
      <c r="M188">
        <f>IF(B188="","",IF(AND(I188&gt;1.25*H188,L188&gt;0),"Over hours + late",IF(I188&gt;1.25*H188,"Over hours",IF(L188&gt;0,"Late","On track"))))</f>
        <v/>
      </c>
    </row>
    <row r="189">
      <c r="E189" s="12" t="n"/>
      <c r="F189" s="12" t="n"/>
      <c r="G189" s="12" t="n"/>
      <c r="K189" s="13">
        <f>IF(I189="","",I189*J189)</f>
        <v/>
      </c>
      <c r="L189">
        <f>IF(F189="","",IF(G189&lt;&gt;"",MAX(0,G189-F189),IF(TODAY()&gt;F189,TODAY()-F189,0)))</f>
        <v/>
      </c>
      <c r="M189">
        <f>IF(B189="","",IF(AND(I189&gt;1.25*H189,L189&gt;0),"Over hours + late",IF(I189&gt;1.25*H189,"Over hours",IF(L189&gt;0,"Late","On track"))))</f>
        <v/>
      </c>
    </row>
    <row r="190">
      <c r="E190" s="12" t="n"/>
      <c r="F190" s="12" t="n"/>
      <c r="G190" s="12" t="n"/>
      <c r="K190" s="13">
        <f>IF(I190="","",I190*J190)</f>
        <v/>
      </c>
      <c r="L190">
        <f>IF(F190="","",IF(G190&lt;&gt;"",MAX(0,G190-F190),IF(TODAY()&gt;F190,TODAY()-F190,0)))</f>
        <v/>
      </c>
      <c r="M190">
        <f>IF(B190="","",IF(AND(I190&gt;1.25*H190,L190&gt;0),"Over hours + late",IF(I190&gt;1.25*H190,"Over hours",IF(L190&gt;0,"Late","On track"))))</f>
        <v/>
      </c>
    </row>
    <row r="191">
      <c r="E191" s="12" t="n"/>
      <c r="F191" s="12" t="n"/>
      <c r="G191" s="12" t="n"/>
      <c r="K191" s="13">
        <f>IF(I191="","",I191*J191)</f>
        <v/>
      </c>
      <c r="L191">
        <f>IF(F191="","",IF(G191&lt;&gt;"",MAX(0,G191-F191),IF(TODAY()&gt;F191,TODAY()-F191,0)))</f>
        <v/>
      </c>
      <c r="M191">
        <f>IF(B191="","",IF(AND(I191&gt;1.25*H191,L191&gt;0),"Over hours + late",IF(I191&gt;1.25*H191,"Over hours",IF(L191&gt;0,"Late","On track"))))</f>
        <v/>
      </c>
    </row>
    <row r="192">
      <c r="E192" s="12" t="n"/>
      <c r="F192" s="12" t="n"/>
      <c r="G192" s="12" t="n"/>
      <c r="K192" s="13">
        <f>IF(I192="","",I192*J192)</f>
        <v/>
      </c>
      <c r="L192">
        <f>IF(F192="","",IF(G192&lt;&gt;"",MAX(0,G192-F192),IF(TODAY()&gt;F192,TODAY()-F192,0)))</f>
        <v/>
      </c>
      <c r="M192">
        <f>IF(B192="","",IF(AND(I192&gt;1.25*H192,L192&gt;0),"Over hours + late",IF(I192&gt;1.25*H192,"Over hours",IF(L192&gt;0,"Late","On track"))))</f>
        <v/>
      </c>
    </row>
    <row r="193">
      <c r="E193" s="12" t="n"/>
      <c r="F193" s="12" t="n"/>
      <c r="G193" s="12" t="n"/>
      <c r="K193" s="13">
        <f>IF(I193="","",I193*J193)</f>
        <v/>
      </c>
      <c r="L193">
        <f>IF(F193="","",IF(G193&lt;&gt;"",MAX(0,G193-F193),IF(TODAY()&gt;F193,TODAY()-F193,0)))</f>
        <v/>
      </c>
      <c r="M193">
        <f>IF(B193="","",IF(AND(I193&gt;1.25*H193,L193&gt;0),"Over hours + late",IF(I193&gt;1.25*H193,"Over hours",IF(L193&gt;0,"Late","On track"))))</f>
        <v/>
      </c>
    </row>
    <row r="194">
      <c r="E194" s="12" t="n"/>
      <c r="F194" s="12" t="n"/>
      <c r="G194" s="12" t="n"/>
      <c r="K194" s="13">
        <f>IF(I194="","",I194*J194)</f>
        <v/>
      </c>
      <c r="L194">
        <f>IF(F194="","",IF(G194&lt;&gt;"",MAX(0,G194-F194),IF(TODAY()&gt;F194,TODAY()-F194,0)))</f>
        <v/>
      </c>
      <c r="M194">
        <f>IF(B194="","",IF(AND(I194&gt;1.25*H194,L194&gt;0),"Over hours + late",IF(I194&gt;1.25*H194,"Over hours",IF(L194&gt;0,"Late","On track"))))</f>
        <v/>
      </c>
    </row>
    <row r="195">
      <c r="E195" s="12" t="n"/>
      <c r="F195" s="12" t="n"/>
      <c r="G195" s="12" t="n"/>
      <c r="K195" s="13">
        <f>IF(I195="","",I195*J195)</f>
        <v/>
      </c>
      <c r="L195">
        <f>IF(F195="","",IF(G195&lt;&gt;"",MAX(0,G195-F195),IF(TODAY()&gt;F195,TODAY()-F195,0)))</f>
        <v/>
      </c>
      <c r="M195">
        <f>IF(B195="","",IF(AND(I195&gt;1.25*H195,L195&gt;0),"Over hours + late",IF(I195&gt;1.25*H195,"Over hours",IF(L195&gt;0,"Late","On track"))))</f>
        <v/>
      </c>
    </row>
    <row r="196">
      <c r="E196" s="12" t="n"/>
      <c r="F196" s="12" t="n"/>
      <c r="G196" s="12" t="n"/>
      <c r="K196" s="13">
        <f>IF(I196="","",I196*J196)</f>
        <v/>
      </c>
      <c r="L196">
        <f>IF(F196="","",IF(G196&lt;&gt;"",MAX(0,G196-F196),IF(TODAY()&gt;F196,TODAY()-F196,0)))</f>
        <v/>
      </c>
      <c r="M196">
        <f>IF(B196="","",IF(AND(I196&gt;1.25*H196,L196&gt;0),"Over hours + late",IF(I196&gt;1.25*H196,"Over hours",IF(L196&gt;0,"Late","On track"))))</f>
        <v/>
      </c>
    </row>
    <row r="197">
      <c r="E197" s="12" t="n"/>
      <c r="F197" s="12" t="n"/>
      <c r="G197" s="12" t="n"/>
      <c r="K197" s="13">
        <f>IF(I197="","",I197*J197)</f>
        <v/>
      </c>
      <c r="L197">
        <f>IF(F197="","",IF(G197&lt;&gt;"",MAX(0,G197-F197),IF(TODAY()&gt;F197,TODAY()-F197,0)))</f>
        <v/>
      </c>
      <c r="M197">
        <f>IF(B197="","",IF(AND(I197&gt;1.25*H197,L197&gt;0),"Over hours + late",IF(I197&gt;1.25*H197,"Over hours",IF(L197&gt;0,"Late","On track"))))</f>
        <v/>
      </c>
    </row>
    <row r="198">
      <c r="E198" s="12" t="n"/>
      <c r="F198" s="12" t="n"/>
      <c r="G198" s="12" t="n"/>
      <c r="K198" s="13">
        <f>IF(I198="","",I198*J198)</f>
        <v/>
      </c>
      <c r="L198">
        <f>IF(F198="","",IF(G198&lt;&gt;"",MAX(0,G198-F198),IF(TODAY()&gt;F198,TODAY()-F198,0)))</f>
        <v/>
      </c>
      <c r="M198">
        <f>IF(B198="","",IF(AND(I198&gt;1.25*H198,L198&gt;0),"Over hours + late",IF(I198&gt;1.25*H198,"Over hours",IF(L198&gt;0,"Late","On track"))))</f>
        <v/>
      </c>
    </row>
    <row r="199">
      <c r="E199" s="12" t="n"/>
      <c r="F199" s="12" t="n"/>
      <c r="G199" s="12" t="n"/>
      <c r="K199" s="13">
        <f>IF(I199="","",I199*J199)</f>
        <v/>
      </c>
      <c r="L199">
        <f>IF(F199="","",IF(G199&lt;&gt;"",MAX(0,G199-F199),IF(TODAY()&gt;F199,TODAY()-F199,0)))</f>
        <v/>
      </c>
      <c r="M199">
        <f>IF(B199="","",IF(AND(I199&gt;1.25*H199,L199&gt;0),"Over hours + late",IF(I199&gt;1.25*H199,"Over hours",IF(L199&gt;0,"Late","On track"))))</f>
        <v/>
      </c>
    </row>
    <row r="200">
      <c r="E200" s="12" t="n"/>
      <c r="F200" s="12" t="n"/>
      <c r="G200" s="12" t="n"/>
      <c r="K200" s="13">
        <f>IF(I200="","",I200*J200)</f>
        <v/>
      </c>
      <c r="L200">
        <f>IF(F200="","",IF(G200&lt;&gt;"",MAX(0,G200-F200),IF(TODAY()&gt;F200,TODAY()-F200,0)))</f>
        <v/>
      </c>
      <c r="M200">
        <f>IF(B200="","",IF(AND(I200&gt;1.25*H200,L200&gt;0),"Over hours + late",IF(I200&gt;1.25*H200,"Over hours",IF(L200&gt;0,"Late","On track"))))</f>
        <v/>
      </c>
    </row>
  </sheetData>
  <conditionalFormatting sqref="M2:M200">
    <cfRule type="expression" priority="1" dxfId="0">
      <formula>OR(M2="On track",M2="OK")</formula>
    </cfRule>
    <cfRule type="expression" priority="2" dxfId="1">
      <formula>AND(M2&lt;&gt;"",M2&lt;&gt;"On track",M2&lt;&gt;"OK")</formula>
    </cfRule>
  </conditionalFormatting>
  <dataValidations count="5">
    <dataValidation sqref="C2:C200" showDropDown="0" showInputMessage="0" showErrorMessage="1" allowBlank="1" errorTitle="Pick from list" error="Choose a listed value" type="list">
      <formula1>"Onboarding,Support,Billing,Change Request"</formula1>
    </dataValidation>
    <dataValidation sqref="D2:D200" showDropDown="0" showInputMessage="0" showErrorMessage="1" allowBlank="1" errorTitle="Pick from list" error="Choose a listed value" type="list">
      <formula1>"Open,Waiting Client,Resolved,Closed"</formula1>
    </dataValidation>
    <dataValidation sqref="E2:E200" showDropDown="0" showInputMessage="0" showErrorMessage="1" allowBlank="1" error="Enter a valid date" type="date" operator="greaterThan">
      <formula1>36526</formula1>
    </dataValidation>
    <dataValidation sqref="F2:F200" showDropDown="0" showInputMessage="0" showErrorMessage="1" allowBlank="1" error="Enter a valid date" type="date" operator="greaterThan">
      <formula1>36526</formula1>
    </dataValidation>
    <dataValidation sqref="G2:G200" showDropDown="0" showInputMessage="0" showErrorMessage="1" allowBlank="1" error="Enter a valid date" type="date" operator="greaterThan">
      <formula1>36526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3" customWidth="1" min="8" max="8"/>
    <col width="13" customWidth="1" min="9" max="9"/>
    <col width="12" customWidth="1" min="10" max="10"/>
    <col width="12" customWidth="1" min="11" max="11"/>
    <col width="16" customWidth="1" min="12" max="12"/>
  </cols>
  <sheetData>
    <row r="1" ht="32" customHeight="1">
      <c r="A1" s="8" t="inlineStr">
        <is>
          <t>SKU</t>
        </is>
      </c>
      <c r="B1" s="8" t="inlineStr">
        <is>
          <t>Item</t>
        </is>
      </c>
      <c r="C1" s="8" t="inlineStr">
        <is>
          <t>Category</t>
        </is>
      </c>
      <c r="D1" s="8" t="inlineStr">
        <is>
          <t>Status</t>
        </is>
      </c>
      <c r="E1" s="8" t="inlineStr">
        <is>
          <t>On Hand</t>
        </is>
      </c>
      <c r="F1" s="8" t="inlineStr">
        <is>
          <t>Reorder Level</t>
        </is>
      </c>
      <c r="G1" s="8" t="inlineStr">
        <is>
          <t>Unit Cost</t>
        </is>
      </c>
      <c r="H1" s="8" t="inlineStr">
        <is>
          <t>Last Restock</t>
        </is>
      </c>
      <c r="I1" s="8" t="inlineStr">
        <is>
          <t>Restock Due</t>
        </is>
      </c>
      <c r="J1" s="8" t="inlineStr">
        <is>
          <t>Stock Value</t>
        </is>
      </c>
      <c r="K1" s="8" t="inlineStr">
        <is>
          <t>Days Overdue</t>
        </is>
      </c>
      <c r="L1" s="8" t="inlineStr">
        <is>
          <t>Performance Flag</t>
        </is>
      </c>
    </row>
    <row r="2">
      <c r="A2" s="3" t="inlineStr">
        <is>
          <t>SKU-001</t>
        </is>
      </c>
      <c r="B2" s="3" t="inlineStr">
        <is>
          <t>Shipping box M</t>
        </is>
      </c>
      <c r="C2" s="3" t="inlineStr">
        <is>
          <t>Packaging</t>
        </is>
      </c>
      <c r="D2" s="3" t="inlineStr">
        <is>
          <t>Active</t>
        </is>
      </c>
      <c r="E2" s="3" t="n">
        <v>420</v>
      </c>
      <c r="F2" s="3" t="n">
        <v>200</v>
      </c>
      <c r="G2" s="14" t="n">
        <v>0.85</v>
      </c>
      <c r="H2" s="9" t="n">
        <v>46254</v>
      </c>
      <c r="I2" s="9" t="n">
        <v>46296</v>
      </c>
      <c r="J2" s="13">
        <f>IF(E2="","",E2*G2)</f>
        <v/>
      </c>
      <c r="K2">
        <f>IF(I2="","",IF(AND(D2&lt;&gt;"Discontinued",TODAY()&gt;I2),TODAY()-I2,0))</f>
        <v/>
      </c>
      <c r="L2">
        <f>IF(B2="","",IF(D2="Discontinued","Retire",IF(E2&lt;=F2,"Reorder now",IF(K2&gt;0,"Restock overdue","OK"))))</f>
        <v/>
      </c>
    </row>
    <row r="3">
      <c r="A3" s="3" t="inlineStr">
        <is>
          <t>SKU-002</t>
        </is>
      </c>
      <c r="B3" s="3" t="inlineStr">
        <is>
          <t>Bubble wrap roll</t>
        </is>
      </c>
      <c r="C3" s="3" t="inlineStr">
        <is>
          <t>Packaging</t>
        </is>
      </c>
      <c r="D3" s="3" t="inlineStr">
        <is>
          <t>Active</t>
        </is>
      </c>
      <c r="E3" s="3" t="n">
        <v>35</v>
      </c>
      <c r="F3" s="3" t="n">
        <v>40</v>
      </c>
      <c r="G3" s="14" t="n">
        <v>12.5</v>
      </c>
      <c r="H3" s="9" t="n">
        <v>46235</v>
      </c>
      <c r="I3" s="9" t="n">
        <v>46285</v>
      </c>
      <c r="J3" s="13">
        <f>IF(E3="","",E3*G3)</f>
        <v/>
      </c>
      <c r="K3">
        <f>IF(I3="","",IF(AND(D3&lt;&gt;"Discontinued",TODAY()&gt;I3),TODAY()-I3,0))</f>
        <v/>
      </c>
      <c r="L3">
        <f>IF(B3="","",IF(D3="Discontinued","Retire",IF(E3&lt;=F3,"Reorder now",IF(K3&gt;0,"Restock overdue","OK"))))</f>
        <v/>
      </c>
    </row>
    <row r="4">
      <c r="A4" s="3" t="inlineStr">
        <is>
          <t>SKU-003</t>
        </is>
      </c>
      <c r="B4" s="3" t="inlineStr">
        <is>
          <t>Label printer</t>
        </is>
      </c>
      <c r="C4" s="3" t="inlineStr">
        <is>
          <t>Hardware</t>
        </is>
      </c>
      <c r="D4" s="3" t="inlineStr">
        <is>
          <t>Active</t>
        </is>
      </c>
      <c r="E4" s="3" t="n">
        <v>4</v>
      </c>
      <c r="F4" s="3" t="n">
        <v>2</v>
      </c>
      <c r="G4" s="14" t="n">
        <v>189</v>
      </c>
      <c r="H4" s="9" t="n">
        <v>46183</v>
      </c>
      <c r="I4" s="9" t="n">
        <v>46357</v>
      </c>
      <c r="J4" s="13">
        <f>IF(E4="","",E4*G4)</f>
        <v/>
      </c>
      <c r="K4">
        <f>IF(I4="","",IF(AND(D4&lt;&gt;"Discontinued",TODAY()&gt;I4),TODAY()-I4,0))</f>
        <v/>
      </c>
      <c r="L4">
        <f>IF(B4="","",IF(D4="Discontinued","Retire",IF(E4&lt;=F4,"Reorder now",IF(K4&gt;0,"Restock overdue","OK"))))</f>
        <v/>
      </c>
    </row>
    <row r="5">
      <c r="A5" s="3" t="inlineStr">
        <is>
          <t>SKU-004</t>
        </is>
      </c>
      <c r="B5" s="3" t="inlineStr">
        <is>
          <t>Thermal labels</t>
        </is>
      </c>
      <c r="C5" s="3" t="inlineStr">
        <is>
          <t>Consumables</t>
        </is>
      </c>
      <c r="D5" s="3" t="inlineStr">
        <is>
          <t>Active</t>
        </is>
      </c>
      <c r="E5" s="3" t="n">
        <v>60</v>
      </c>
      <c r="F5" s="3" t="n">
        <v>80</v>
      </c>
      <c r="G5" s="14" t="n">
        <v>6.2</v>
      </c>
      <c r="H5" s="9" t="n">
        <v>46262</v>
      </c>
      <c r="I5" s="9" t="n">
        <v>46283</v>
      </c>
      <c r="J5" s="13">
        <f>IF(E5="","",E5*G5)</f>
        <v/>
      </c>
      <c r="K5">
        <f>IF(I5="","",IF(AND(D5&lt;&gt;"Discontinued",TODAY()&gt;I5),TODAY()-I5,0))</f>
        <v/>
      </c>
      <c r="L5">
        <f>IF(B5="","",IF(D5="Discontinued","Retire",IF(E5&lt;=F5,"Reorder now",IF(K5&gt;0,"Restock overdue","OK"))))</f>
        <v/>
      </c>
    </row>
    <row r="6">
      <c r="A6" s="3" t="inlineStr">
        <is>
          <t>SKU-005</t>
        </is>
      </c>
      <c r="B6" s="3" t="inlineStr">
        <is>
          <t>Barcode scanner</t>
        </is>
      </c>
      <c r="C6" s="3" t="inlineStr">
        <is>
          <t>Hardware</t>
        </is>
      </c>
      <c r="D6" s="3" t="inlineStr">
        <is>
          <t>Backorder</t>
        </is>
      </c>
      <c r="E6" s="3" t="n">
        <v>1</v>
      </c>
      <c r="F6" s="3" t="n">
        <v>3</v>
      </c>
      <c r="G6" s="14" t="n">
        <v>145</v>
      </c>
      <c r="H6" s="9" t="n">
        <v>46157</v>
      </c>
      <c r="I6" s="9" t="n">
        <v>46275</v>
      </c>
      <c r="J6" s="13">
        <f>IF(E6="","",E6*G6)</f>
        <v/>
      </c>
      <c r="K6">
        <f>IF(I6="","",IF(AND(D6&lt;&gt;"Discontinued",TODAY()&gt;I6),TODAY()-I6,0))</f>
        <v/>
      </c>
      <c r="L6">
        <f>IF(B6="","",IF(D6="Discontinued","Retire",IF(E6&lt;=F6,"Reorder now",IF(K6&gt;0,"Restock overdue","OK"))))</f>
        <v/>
      </c>
    </row>
    <row r="7">
      <c r="A7" s="3" t="inlineStr">
        <is>
          <t>SKU-006</t>
        </is>
      </c>
      <c r="B7" s="3" t="inlineStr">
        <is>
          <t>Packing tape</t>
        </is>
      </c>
      <c r="C7" s="3" t="inlineStr">
        <is>
          <t>Consumables</t>
        </is>
      </c>
      <c r="D7" s="3" t="inlineStr">
        <is>
          <t>Active</t>
        </is>
      </c>
      <c r="E7" s="3" t="n">
        <v>150</v>
      </c>
      <c r="F7" s="3" t="n">
        <v>100</v>
      </c>
      <c r="G7" s="14" t="n">
        <v>1.9</v>
      </c>
      <c r="H7" s="9" t="n">
        <v>46266</v>
      </c>
      <c r="I7" s="9" t="n">
        <v>46327</v>
      </c>
      <c r="J7" s="13">
        <f>IF(E7="","",E7*G7)</f>
        <v/>
      </c>
      <c r="K7">
        <f>IF(I7="","",IF(AND(D7&lt;&gt;"Discontinued",TODAY()&gt;I7),TODAY()-I7,0))</f>
        <v/>
      </c>
      <c r="L7">
        <f>IF(B7="","",IF(D7="Discontinued","Retire",IF(E7&lt;=F7,"Reorder now",IF(K7&gt;0,"Restock overdue","OK"))))</f>
        <v/>
      </c>
    </row>
    <row r="8">
      <c r="A8" s="3" t="inlineStr">
        <is>
          <t>SKU-007</t>
        </is>
      </c>
      <c r="B8" s="3" t="inlineStr">
        <is>
          <t>Logo tote bag</t>
        </is>
      </c>
      <c r="C8" s="3" t="inlineStr">
        <is>
          <t>Merchandise</t>
        </is>
      </c>
      <c r="D8" s="3" t="inlineStr">
        <is>
          <t>Active</t>
        </is>
      </c>
      <c r="E8" s="3" t="n">
        <v>210</v>
      </c>
      <c r="F8" s="3" t="n">
        <v>120</v>
      </c>
      <c r="G8" s="14" t="n">
        <v>2.4</v>
      </c>
      <c r="H8" s="9" t="n">
        <v>46223</v>
      </c>
      <c r="I8" s="9" t="n">
        <v>46346</v>
      </c>
      <c r="J8" s="13">
        <f>IF(E8="","",E8*G8)</f>
        <v/>
      </c>
      <c r="K8">
        <f>IF(I8="","",IF(AND(D8&lt;&gt;"Discontinued",TODAY()&gt;I8),TODAY()-I8,0))</f>
        <v/>
      </c>
      <c r="L8">
        <f>IF(B8="","",IF(D8="Discontinued","Retire",IF(E8&lt;=F8,"Reorder now",IF(K8&gt;0,"Restock overdue","OK"))))</f>
        <v/>
      </c>
    </row>
    <row r="9">
      <c r="A9" s="3" t="inlineStr">
        <is>
          <t>SKU-008</t>
        </is>
      </c>
      <c r="B9" s="3" t="inlineStr">
        <is>
          <t>Mug (white)</t>
        </is>
      </c>
      <c r="C9" s="3" t="inlineStr">
        <is>
          <t>Merchandise</t>
        </is>
      </c>
      <c r="D9" s="3" t="inlineStr">
        <is>
          <t>Discontinued</t>
        </is>
      </c>
      <c r="E9" s="3" t="n">
        <v>18</v>
      </c>
      <c r="F9" s="3" t="n">
        <v>0</v>
      </c>
      <c r="G9" s="14" t="n">
        <v>3.1</v>
      </c>
      <c r="H9" s="9" t="n">
        <v>46084</v>
      </c>
      <c r="I9" s="9" t="n"/>
      <c r="J9" s="13">
        <f>IF(E9="","",E9*G9)</f>
        <v/>
      </c>
      <c r="K9">
        <f>IF(I9="","",IF(AND(D9&lt;&gt;"Discontinued",TODAY()&gt;I9),TODAY()-I9,0))</f>
        <v/>
      </c>
      <c r="L9">
        <f>IF(B9="","",IF(D9="Discontinued","Retire",IF(E9&lt;=F9,"Reorder now",IF(K9&gt;0,"Restock overdue","OK"))))</f>
        <v/>
      </c>
    </row>
    <row r="10">
      <c r="A10" s="3" t="inlineStr">
        <is>
          <t>SKU-009</t>
        </is>
      </c>
      <c r="B10" s="3" t="inlineStr">
        <is>
          <t>Mailer envelope</t>
        </is>
      </c>
      <c r="C10" s="3" t="inlineStr">
        <is>
          <t>Packaging</t>
        </is>
      </c>
      <c r="D10" s="3" t="inlineStr">
        <is>
          <t>Active</t>
        </is>
      </c>
      <c r="E10" s="3" t="n">
        <v>90</v>
      </c>
      <c r="F10" s="3" t="n">
        <v>150</v>
      </c>
      <c r="G10" s="14" t="n">
        <v>0.32</v>
      </c>
      <c r="H10" s="9" t="n">
        <v>46259</v>
      </c>
      <c r="I10" s="9" t="n">
        <v>46287</v>
      </c>
      <c r="J10" s="13">
        <f>IF(E10="","",E10*G10)</f>
        <v/>
      </c>
      <c r="K10">
        <f>IF(I10="","",IF(AND(D10&lt;&gt;"Discontinued",TODAY()&gt;I10),TODAY()-I10,0))</f>
        <v/>
      </c>
      <c r="L10">
        <f>IF(B10="","",IF(D10="Discontinued","Retire",IF(E10&lt;=F10,"Reorder now",IF(K10&gt;0,"Restock overdue","OK"))))</f>
        <v/>
      </c>
    </row>
    <row r="11">
      <c r="A11" s="3" t="inlineStr">
        <is>
          <t>SKU-010</t>
        </is>
      </c>
      <c r="B11" s="3" t="inlineStr">
        <is>
          <t>USB hub</t>
        </is>
      </c>
      <c r="C11" s="3" t="inlineStr">
        <is>
          <t>Hardware</t>
        </is>
      </c>
      <c r="D11" s="3" t="inlineStr">
        <is>
          <t>Active</t>
        </is>
      </c>
      <c r="E11" s="3" t="n">
        <v>12</v>
      </c>
      <c r="F11" s="3" t="n">
        <v>5</v>
      </c>
      <c r="G11" s="14" t="n">
        <v>22</v>
      </c>
      <c r="H11" s="9" t="n">
        <v>46205</v>
      </c>
      <c r="I11" s="9" t="n">
        <v>46371</v>
      </c>
      <c r="J11" s="13">
        <f>IF(E11="","",E11*G11)</f>
        <v/>
      </c>
      <c r="K11">
        <f>IF(I11="","",IF(AND(D11&lt;&gt;"Discontinued",TODAY()&gt;I11),TODAY()-I11,0))</f>
        <v/>
      </c>
      <c r="L11">
        <f>IF(B11="","",IF(D11="Discontinued","Retire",IF(E11&lt;=F11,"Reorder now",IF(K11&gt;0,"Restock overdue","OK"))))</f>
        <v/>
      </c>
    </row>
    <row r="12">
      <c r="A12" s="3" t="inlineStr">
        <is>
          <t>SKU-011</t>
        </is>
      </c>
      <c r="B12" s="3" t="inlineStr">
        <is>
          <t>Gloves (box)</t>
        </is>
      </c>
      <c r="C12" s="3" t="inlineStr">
        <is>
          <t>Consumables</t>
        </is>
      </c>
      <c r="D12" s="3" t="inlineStr">
        <is>
          <t>Backorder</t>
        </is>
      </c>
      <c r="E12" s="3" t="n">
        <v>5</v>
      </c>
      <c r="F12" s="3" t="n">
        <v>10</v>
      </c>
      <c r="G12" s="14" t="n">
        <v>8.75</v>
      </c>
      <c r="H12" s="9" t="n">
        <v>46239</v>
      </c>
      <c r="I12" s="9" t="n">
        <v>46270</v>
      </c>
      <c r="J12" s="13">
        <f>IF(E12="","",E12*G12)</f>
        <v/>
      </c>
      <c r="K12">
        <f>IF(I12="","",IF(AND(D12&lt;&gt;"Discontinued",TODAY()&gt;I12),TODAY()-I12,0))</f>
        <v/>
      </c>
      <c r="L12">
        <f>IF(B12="","",IF(D12="Discontinued","Retire",IF(E12&lt;=F12,"Reorder now",IF(K12&gt;0,"Restock overdue","OK"))))</f>
        <v/>
      </c>
    </row>
    <row r="13">
      <c r="A13" s="3" t="inlineStr">
        <is>
          <t>SKU-012</t>
        </is>
      </c>
      <c r="B13" s="3" t="inlineStr">
        <is>
          <t>Sticker sheet</t>
        </is>
      </c>
      <c r="C13" s="3" t="inlineStr">
        <is>
          <t>Merchandise</t>
        </is>
      </c>
      <c r="D13" s="3" t="inlineStr">
        <is>
          <t>Active</t>
        </is>
      </c>
      <c r="E13" s="3" t="n">
        <v>300</v>
      </c>
      <c r="F13" s="3" t="n">
        <v>250</v>
      </c>
      <c r="G13" s="14" t="n">
        <v>0.18</v>
      </c>
      <c r="H13" s="9" t="n">
        <v>46273</v>
      </c>
      <c r="I13" s="9" t="n">
        <v>46357</v>
      </c>
      <c r="J13" s="13">
        <f>IF(E13="","",E13*G13)</f>
        <v/>
      </c>
      <c r="K13">
        <f>IF(I13="","",IF(AND(D13&lt;&gt;"Discontinued",TODAY()&gt;I13),TODAY()-I13,0))</f>
        <v/>
      </c>
      <c r="L13">
        <f>IF(B13="","",IF(D13="Discontinued","Retire",IF(E13&lt;=F13,"Reorder now",IF(K13&gt;0,"Restock overdue","OK"))))</f>
        <v/>
      </c>
    </row>
    <row r="14">
      <c r="G14" s="13" t="n"/>
      <c r="H14" s="12" t="n"/>
      <c r="I14" s="12" t="n"/>
      <c r="J14" s="13">
        <f>IF(E14="","",E14*G14)</f>
        <v/>
      </c>
      <c r="K14">
        <f>IF(I14="","",IF(AND(D14&lt;&gt;"Discontinued",TODAY()&gt;I14),TODAY()-I14,0))</f>
        <v/>
      </c>
      <c r="L14">
        <f>IF(B14="","",IF(D14="Discontinued","Retire",IF(E14&lt;=F14,"Reorder now",IF(K14&gt;0,"Restock overdue","OK"))))</f>
        <v/>
      </c>
    </row>
    <row r="15">
      <c r="G15" s="13" t="n"/>
      <c r="H15" s="12" t="n"/>
      <c r="I15" s="12" t="n"/>
      <c r="J15" s="13">
        <f>IF(E15="","",E15*G15)</f>
        <v/>
      </c>
      <c r="K15">
        <f>IF(I15="","",IF(AND(D15&lt;&gt;"Discontinued",TODAY()&gt;I15),TODAY()-I15,0))</f>
        <v/>
      </c>
      <c r="L15">
        <f>IF(B15="","",IF(D15="Discontinued","Retire",IF(E15&lt;=F15,"Reorder now",IF(K15&gt;0,"Restock overdue","OK"))))</f>
        <v/>
      </c>
    </row>
    <row r="16">
      <c r="G16" s="13" t="n"/>
      <c r="H16" s="12" t="n"/>
      <c r="I16" s="12" t="n"/>
      <c r="J16" s="13">
        <f>IF(E16="","",E16*G16)</f>
        <v/>
      </c>
      <c r="K16">
        <f>IF(I16="","",IF(AND(D16&lt;&gt;"Discontinued",TODAY()&gt;I16),TODAY()-I16,0))</f>
        <v/>
      </c>
      <c r="L16">
        <f>IF(B16="","",IF(D16="Discontinued","Retire",IF(E16&lt;=F16,"Reorder now",IF(K16&gt;0,"Restock overdue","OK"))))</f>
        <v/>
      </c>
    </row>
    <row r="17">
      <c r="G17" s="13" t="n"/>
      <c r="H17" s="12" t="n"/>
      <c r="I17" s="12" t="n"/>
      <c r="J17" s="13">
        <f>IF(E17="","",E17*G17)</f>
        <v/>
      </c>
      <c r="K17">
        <f>IF(I17="","",IF(AND(D17&lt;&gt;"Discontinued",TODAY()&gt;I17),TODAY()-I17,0))</f>
        <v/>
      </c>
      <c r="L17">
        <f>IF(B17="","",IF(D17="Discontinued","Retire",IF(E17&lt;=F17,"Reorder now",IF(K17&gt;0,"Restock overdue","OK"))))</f>
        <v/>
      </c>
    </row>
    <row r="18">
      <c r="G18" s="13" t="n"/>
      <c r="H18" s="12" t="n"/>
      <c r="I18" s="12" t="n"/>
      <c r="J18" s="13">
        <f>IF(E18="","",E18*G18)</f>
        <v/>
      </c>
      <c r="K18">
        <f>IF(I18="","",IF(AND(D18&lt;&gt;"Discontinued",TODAY()&gt;I18),TODAY()-I18,0))</f>
        <v/>
      </c>
      <c r="L18">
        <f>IF(B18="","",IF(D18="Discontinued","Retire",IF(E18&lt;=F18,"Reorder now",IF(K18&gt;0,"Restock overdue","OK"))))</f>
        <v/>
      </c>
    </row>
    <row r="19">
      <c r="G19" s="13" t="n"/>
      <c r="H19" s="12" t="n"/>
      <c r="I19" s="12" t="n"/>
      <c r="J19" s="13">
        <f>IF(E19="","",E19*G19)</f>
        <v/>
      </c>
      <c r="K19">
        <f>IF(I19="","",IF(AND(D19&lt;&gt;"Discontinued",TODAY()&gt;I19),TODAY()-I19,0))</f>
        <v/>
      </c>
      <c r="L19">
        <f>IF(B19="","",IF(D19="Discontinued","Retire",IF(E19&lt;=F19,"Reorder now",IF(K19&gt;0,"Restock overdue","OK"))))</f>
        <v/>
      </c>
    </row>
    <row r="20">
      <c r="G20" s="13" t="n"/>
      <c r="H20" s="12" t="n"/>
      <c r="I20" s="12" t="n"/>
      <c r="J20" s="13">
        <f>IF(E20="","",E20*G20)</f>
        <v/>
      </c>
      <c r="K20">
        <f>IF(I20="","",IF(AND(D20&lt;&gt;"Discontinued",TODAY()&gt;I20),TODAY()-I20,0))</f>
        <v/>
      </c>
      <c r="L20">
        <f>IF(B20="","",IF(D20="Discontinued","Retire",IF(E20&lt;=F20,"Reorder now",IF(K20&gt;0,"Restock overdue","OK"))))</f>
        <v/>
      </c>
    </row>
    <row r="21">
      <c r="G21" s="13" t="n"/>
      <c r="H21" s="12" t="n"/>
      <c r="I21" s="12" t="n"/>
      <c r="J21" s="13">
        <f>IF(E21="","",E21*G21)</f>
        <v/>
      </c>
      <c r="K21">
        <f>IF(I21="","",IF(AND(D21&lt;&gt;"Discontinued",TODAY()&gt;I21),TODAY()-I21,0))</f>
        <v/>
      </c>
      <c r="L21">
        <f>IF(B21="","",IF(D21="Discontinued","Retire",IF(E21&lt;=F21,"Reorder now",IF(K21&gt;0,"Restock overdue","OK"))))</f>
        <v/>
      </c>
    </row>
    <row r="22">
      <c r="G22" s="13" t="n"/>
      <c r="H22" s="12" t="n"/>
      <c r="I22" s="12" t="n"/>
      <c r="J22" s="13">
        <f>IF(E22="","",E22*G22)</f>
        <v/>
      </c>
      <c r="K22">
        <f>IF(I22="","",IF(AND(D22&lt;&gt;"Discontinued",TODAY()&gt;I22),TODAY()-I22,0))</f>
        <v/>
      </c>
      <c r="L22">
        <f>IF(B22="","",IF(D22="Discontinued","Retire",IF(E22&lt;=F22,"Reorder now",IF(K22&gt;0,"Restock overdue","OK"))))</f>
        <v/>
      </c>
    </row>
    <row r="23">
      <c r="G23" s="13" t="n"/>
      <c r="H23" s="12" t="n"/>
      <c r="I23" s="12" t="n"/>
      <c r="J23" s="13">
        <f>IF(E23="","",E23*G23)</f>
        <v/>
      </c>
      <c r="K23">
        <f>IF(I23="","",IF(AND(D23&lt;&gt;"Discontinued",TODAY()&gt;I23),TODAY()-I23,0))</f>
        <v/>
      </c>
      <c r="L23">
        <f>IF(B23="","",IF(D23="Discontinued","Retire",IF(E23&lt;=F23,"Reorder now",IF(K23&gt;0,"Restock overdue","OK"))))</f>
        <v/>
      </c>
    </row>
    <row r="24">
      <c r="G24" s="13" t="n"/>
      <c r="H24" s="12" t="n"/>
      <c r="I24" s="12" t="n"/>
      <c r="J24" s="13">
        <f>IF(E24="","",E24*G24)</f>
        <v/>
      </c>
      <c r="K24">
        <f>IF(I24="","",IF(AND(D24&lt;&gt;"Discontinued",TODAY()&gt;I24),TODAY()-I24,0))</f>
        <v/>
      </c>
      <c r="L24">
        <f>IF(B24="","",IF(D24="Discontinued","Retire",IF(E24&lt;=F24,"Reorder now",IF(K24&gt;0,"Restock overdue","OK"))))</f>
        <v/>
      </c>
    </row>
    <row r="25">
      <c r="G25" s="13" t="n"/>
      <c r="H25" s="12" t="n"/>
      <c r="I25" s="12" t="n"/>
      <c r="J25" s="13">
        <f>IF(E25="","",E25*G25)</f>
        <v/>
      </c>
      <c r="K25">
        <f>IF(I25="","",IF(AND(D25&lt;&gt;"Discontinued",TODAY()&gt;I25),TODAY()-I25,0))</f>
        <v/>
      </c>
      <c r="L25">
        <f>IF(B25="","",IF(D25="Discontinued","Retire",IF(E25&lt;=F25,"Reorder now",IF(K25&gt;0,"Restock overdue","OK"))))</f>
        <v/>
      </c>
    </row>
    <row r="26">
      <c r="G26" s="13" t="n"/>
      <c r="H26" s="12" t="n"/>
      <c r="I26" s="12" t="n"/>
      <c r="J26" s="13">
        <f>IF(E26="","",E26*G26)</f>
        <v/>
      </c>
      <c r="K26">
        <f>IF(I26="","",IF(AND(D26&lt;&gt;"Discontinued",TODAY()&gt;I26),TODAY()-I26,0))</f>
        <v/>
      </c>
      <c r="L26">
        <f>IF(B26="","",IF(D26="Discontinued","Retire",IF(E26&lt;=F26,"Reorder now",IF(K26&gt;0,"Restock overdue","OK"))))</f>
        <v/>
      </c>
    </row>
    <row r="27">
      <c r="G27" s="13" t="n"/>
      <c r="H27" s="12" t="n"/>
      <c r="I27" s="12" t="n"/>
      <c r="J27" s="13">
        <f>IF(E27="","",E27*G27)</f>
        <v/>
      </c>
      <c r="K27">
        <f>IF(I27="","",IF(AND(D27&lt;&gt;"Discontinued",TODAY()&gt;I27),TODAY()-I27,0))</f>
        <v/>
      </c>
      <c r="L27">
        <f>IF(B27="","",IF(D27="Discontinued","Retire",IF(E27&lt;=F27,"Reorder now",IF(K27&gt;0,"Restock overdue","OK"))))</f>
        <v/>
      </c>
    </row>
    <row r="28">
      <c r="G28" s="13" t="n"/>
      <c r="H28" s="12" t="n"/>
      <c r="I28" s="12" t="n"/>
      <c r="J28" s="13">
        <f>IF(E28="","",E28*G28)</f>
        <v/>
      </c>
      <c r="K28">
        <f>IF(I28="","",IF(AND(D28&lt;&gt;"Discontinued",TODAY()&gt;I28),TODAY()-I28,0))</f>
        <v/>
      </c>
      <c r="L28">
        <f>IF(B28="","",IF(D28="Discontinued","Retire",IF(E28&lt;=F28,"Reorder now",IF(K28&gt;0,"Restock overdue","OK"))))</f>
        <v/>
      </c>
    </row>
    <row r="29">
      <c r="G29" s="13" t="n"/>
      <c r="H29" s="12" t="n"/>
      <c r="I29" s="12" t="n"/>
      <c r="J29" s="13">
        <f>IF(E29="","",E29*G29)</f>
        <v/>
      </c>
      <c r="K29">
        <f>IF(I29="","",IF(AND(D29&lt;&gt;"Discontinued",TODAY()&gt;I29),TODAY()-I29,0))</f>
        <v/>
      </c>
      <c r="L29">
        <f>IF(B29="","",IF(D29="Discontinued","Retire",IF(E29&lt;=F29,"Reorder now",IF(K29&gt;0,"Restock overdue","OK"))))</f>
        <v/>
      </c>
    </row>
    <row r="30">
      <c r="G30" s="13" t="n"/>
      <c r="H30" s="12" t="n"/>
      <c r="I30" s="12" t="n"/>
      <c r="J30" s="13">
        <f>IF(E30="","",E30*G30)</f>
        <v/>
      </c>
      <c r="K30">
        <f>IF(I30="","",IF(AND(D30&lt;&gt;"Discontinued",TODAY()&gt;I30),TODAY()-I30,0))</f>
        <v/>
      </c>
      <c r="L30">
        <f>IF(B30="","",IF(D30="Discontinued","Retire",IF(E30&lt;=F30,"Reorder now",IF(K30&gt;0,"Restock overdue","OK"))))</f>
        <v/>
      </c>
    </row>
    <row r="31">
      <c r="G31" s="13" t="n"/>
      <c r="H31" s="12" t="n"/>
      <c r="I31" s="12" t="n"/>
      <c r="J31" s="13">
        <f>IF(E31="","",E31*G31)</f>
        <v/>
      </c>
      <c r="K31">
        <f>IF(I31="","",IF(AND(D31&lt;&gt;"Discontinued",TODAY()&gt;I31),TODAY()-I31,0))</f>
        <v/>
      </c>
      <c r="L31">
        <f>IF(B31="","",IF(D31="Discontinued","Retire",IF(E31&lt;=F31,"Reorder now",IF(K31&gt;0,"Restock overdue","OK"))))</f>
        <v/>
      </c>
    </row>
    <row r="32">
      <c r="G32" s="13" t="n"/>
      <c r="H32" s="12" t="n"/>
      <c r="I32" s="12" t="n"/>
      <c r="J32" s="13">
        <f>IF(E32="","",E32*G32)</f>
        <v/>
      </c>
      <c r="K32">
        <f>IF(I32="","",IF(AND(D32&lt;&gt;"Discontinued",TODAY()&gt;I32),TODAY()-I32,0))</f>
        <v/>
      </c>
      <c r="L32">
        <f>IF(B32="","",IF(D32="Discontinued","Retire",IF(E32&lt;=F32,"Reorder now",IF(K32&gt;0,"Restock overdue","OK"))))</f>
        <v/>
      </c>
    </row>
    <row r="33">
      <c r="G33" s="13" t="n"/>
      <c r="H33" s="12" t="n"/>
      <c r="I33" s="12" t="n"/>
      <c r="J33" s="13">
        <f>IF(E33="","",E33*G33)</f>
        <v/>
      </c>
      <c r="K33">
        <f>IF(I33="","",IF(AND(D33&lt;&gt;"Discontinued",TODAY()&gt;I33),TODAY()-I33,0))</f>
        <v/>
      </c>
      <c r="L33">
        <f>IF(B33="","",IF(D33="Discontinued","Retire",IF(E33&lt;=F33,"Reorder now",IF(K33&gt;0,"Restock overdue","OK"))))</f>
        <v/>
      </c>
    </row>
    <row r="34">
      <c r="G34" s="13" t="n"/>
      <c r="H34" s="12" t="n"/>
      <c r="I34" s="12" t="n"/>
      <c r="J34" s="13">
        <f>IF(E34="","",E34*G34)</f>
        <v/>
      </c>
      <c r="K34">
        <f>IF(I34="","",IF(AND(D34&lt;&gt;"Discontinued",TODAY()&gt;I34),TODAY()-I34,0))</f>
        <v/>
      </c>
      <c r="L34">
        <f>IF(B34="","",IF(D34="Discontinued","Retire",IF(E34&lt;=F34,"Reorder now",IF(K34&gt;0,"Restock overdue","OK"))))</f>
        <v/>
      </c>
    </row>
    <row r="35">
      <c r="G35" s="13" t="n"/>
      <c r="H35" s="12" t="n"/>
      <c r="I35" s="12" t="n"/>
      <c r="J35" s="13">
        <f>IF(E35="","",E35*G35)</f>
        <v/>
      </c>
      <c r="K35">
        <f>IF(I35="","",IF(AND(D35&lt;&gt;"Discontinued",TODAY()&gt;I35),TODAY()-I35,0))</f>
        <v/>
      </c>
      <c r="L35">
        <f>IF(B35="","",IF(D35="Discontinued","Retire",IF(E35&lt;=F35,"Reorder now",IF(K35&gt;0,"Restock overdue","OK"))))</f>
        <v/>
      </c>
    </row>
    <row r="36">
      <c r="G36" s="13" t="n"/>
      <c r="H36" s="12" t="n"/>
      <c r="I36" s="12" t="n"/>
      <c r="J36" s="13">
        <f>IF(E36="","",E36*G36)</f>
        <v/>
      </c>
      <c r="K36">
        <f>IF(I36="","",IF(AND(D36&lt;&gt;"Discontinued",TODAY()&gt;I36),TODAY()-I36,0))</f>
        <v/>
      </c>
      <c r="L36">
        <f>IF(B36="","",IF(D36="Discontinued","Retire",IF(E36&lt;=F36,"Reorder now",IF(K36&gt;0,"Restock overdue","OK"))))</f>
        <v/>
      </c>
    </row>
    <row r="37">
      <c r="G37" s="13" t="n"/>
      <c r="H37" s="12" t="n"/>
      <c r="I37" s="12" t="n"/>
      <c r="J37" s="13">
        <f>IF(E37="","",E37*G37)</f>
        <v/>
      </c>
      <c r="K37">
        <f>IF(I37="","",IF(AND(D37&lt;&gt;"Discontinued",TODAY()&gt;I37),TODAY()-I37,0))</f>
        <v/>
      </c>
      <c r="L37">
        <f>IF(B37="","",IF(D37="Discontinued","Retire",IF(E37&lt;=F37,"Reorder now",IF(K37&gt;0,"Restock overdue","OK"))))</f>
        <v/>
      </c>
    </row>
    <row r="38">
      <c r="G38" s="13" t="n"/>
      <c r="H38" s="12" t="n"/>
      <c r="I38" s="12" t="n"/>
      <c r="J38" s="13">
        <f>IF(E38="","",E38*G38)</f>
        <v/>
      </c>
      <c r="K38">
        <f>IF(I38="","",IF(AND(D38&lt;&gt;"Discontinued",TODAY()&gt;I38),TODAY()-I38,0))</f>
        <v/>
      </c>
      <c r="L38">
        <f>IF(B38="","",IF(D38="Discontinued","Retire",IF(E38&lt;=F38,"Reorder now",IF(K38&gt;0,"Restock overdue","OK"))))</f>
        <v/>
      </c>
    </row>
    <row r="39">
      <c r="G39" s="13" t="n"/>
      <c r="H39" s="12" t="n"/>
      <c r="I39" s="12" t="n"/>
      <c r="J39" s="13">
        <f>IF(E39="","",E39*G39)</f>
        <v/>
      </c>
      <c r="K39">
        <f>IF(I39="","",IF(AND(D39&lt;&gt;"Discontinued",TODAY()&gt;I39),TODAY()-I39,0))</f>
        <v/>
      </c>
      <c r="L39">
        <f>IF(B39="","",IF(D39="Discontinued","Retire",IF(E39&lt;=F39,"Reorder now",IF(K39&gt;0,"Restock overdue","OK"))))</f>
        <v/>
      </c>
    </row>
    <row r="40">
      <c r="G40" s="13" t="n"/>
      <c r="H40" s="12" t="n"/>
      <c r="I40" s="12" t="n"/>
      <c r="J40" s="13">
        <f>IF(E40="","",E40*G40)</f>
        <v/>
      </c>
      <c r="K40">
        <f>IF(I40="","",IF(AND(D40&lt;&gt;"Discontinued",TODAY()&gt;I40),TODAY()-I40,0))</f>
        <v/>
      </c>
      <c r="L40">
        <f>IF(B40="","",IF(D40="Discontinued","Retire",IF(E40&lt;=F40,"Reorder now",IF(K40&gt;0,"Restock overdue","OK"))))</f>
        <v/>
      </c>
    </row>
    <row r="41">
      <c r="G41" s="13" t="n"/>
      <c r="H41" s="12" t="n"/>
      <c r="I41" s="12" t="n"/>
      <c r="J41" s="13">
        <f>IF(E41="","",E41*G41)</f>
        <v/>
      </c>
      <c r="K41">
        <f>IF(I41="","",IF(AND(D41&lt;&gt;"Discontinued",TODAY()&gt;I41),TODAY()-I41,0))</f>
        <v/>
      </c>
      <c r="L41">
        <f>IF(B41="","",IF(D41="Discontinued","Retire",IF(E41&lt;=F41,"Reorder now",IF(K41&gt;0,"Restock overdue","OK"))))</f>
        <v/>
      </c>
    </row>
    <row r="42">
      <c r="G42" s="13" t="n"/>
      <c r="H42" s="12" t="n"/>
      <c r="I42" s="12" t="n"/>
      <c r="J42" s="13">
        <f>IF(E42="","",E42*G42)</f>
        <v/>
      </c>
      <c r="K42">
        <f>IF(I42="","",IF(AND(D42&lt;&gt;"Discontinued",TODAY()&gt;I42),TODAY()-I42,0))</f>
        <v/>
      </c>
      <c r="L42">
        <f>IF(B42="","",IF(D42="Discontinued","Retire",IF(E42&lt;=F42,"Reorder now",IF(K42&gt;0,"Restock overdue","OK"))))</f>
        <v/>
      </c>
    </row>
    <row r="43">
      <c r="G43" s="13" t="n"/>
      <c r="H43" s="12" t="n"/>
      <c r="I43" s="12" t="n"/>
      <c r="J43" s="13">
        <f>IF(E43="","",E43*G43)</f>
        <v/>
      </c>
      <c r="K43">
        <f>IF(I43="","",IF(AND(D43&lt;&gt;"Discontinued",TODAY()&gt;I43),TODAY()-I43,0))</f>
        <v/>
      </c>
      <c r="L43">
        <f>IF(B43="","",IF(D43="Discontinued","Retire",IF(E43&lt;=F43,"Reorder now",IF(K43&gt;0,"Restock overdue","OK"))))</f>
        <v/>
      </c>
    </row>
    <row r="44">
      <c r="G44" s="13" t="n"/>
      <c r="H44" s="12" t="n"/>
      <c r="I44" s="12" t="n"/>
      <c r="J44" s="13">
        <f>IF(E44="","",E44*G44)</f>
        <v/>
      </c>
      <c r="K44">
        <f>IF(I44="","",IF(AND(D44&lt;&gt;"Discontinued",TODAY()&gt;I44),TODAY()-I44,0))</f>
        <v/>
      </c>
      <c r="L44">
        <f>IF(B44="","",IF(D44="Discontinued","Retire",IF(E44&lt;=F44,"Reorder now",IF(K44&gt;0,"Restock overdue","OK"))))</f>
        <v/>
      </c>
    </row>
    <row r="45">
      <c r="G45" s="13" t="n"/>
      <c r="H45" s="12" t="n"/>
      <c r="I45" s="12" t="n"/>
      <c r="J45" s="13">
        <f>IF(E45="","",E45*G45)</f>
        <v/>
      </c>
      <c r="K45">
        <f>IF(I45="","",IF(AND(D45&lt;&gt;"Discontinued",TODAY()&gt;I45),TODAY()-I45,0))</f>
        <v/>
      </c>
      <c r="L45">
        <f>IF(B45="","",IF(D45="Discontinued","Retire",IF(E45&lt;=F45,"Reorder now",IF(K45&gt;0,"Restock overdue","OK"))))</f>
        <v/>
      </c>
    </row>
    <row r="46">
      <c r="G46" s="13" t="n"/>
      <c r="H46" s="12" t="n"/>
      <c r="I46" s="12" t="n"/>
      <c r="J46" s="13">
        <f>IF(E46="","",E46*G46)</f>
        <v/>
      </c>
      <c r="K46">
        <f>IF(I46="","",IF(AND(D46&lt;&gt;"Discontinued",TODAY()&gt;I46),TODAY()-I46,0))</f>
        <v/>
      </c>
      <c r="L46">
        <f>IF(B46="","",IF(D46="Discontinued","Retire",IF(E46&lt;=F46,"Reorder now",IF(K46&gt;0,"Restock overdue","OK"))))</f>
        <v/>
      </c>
    </row>
    <row r="47">
      <c r="G47" s="13" t="n"/>
      <c r="H47" s="12" t="n"/>
      <c r="I47" s="12" t="n"/>
      <c r="J47" s="13">
        <f>IF(E47="","",E47*G47)</f>
        <v/>
      </c>
      <c r="K47">
        <f>IF(I47="","",IF(AND(D47&lt;&gt;"Discontinued",TODAY()&gt;I47),TODAY()-I47,0))</f>
        <v/>
      </c>
      <c r="L47">
        <f>IF(B47="","",IF(D47="Discontinued","Retire",IF(E47&lt;=F47,"Reorder now",IF(K47&gt;0,"Restock overdue","OK"))))</f>
        <v/>
      </c>
    </row>
    <row r="48">
      <c r="G48" s="13" t="n"/>
      <c r="H48" s="12" t="n"/>
      <c r="I48" s="12" t="n"/>
      <c r="J48" s="13">
        <f>IF(E48="","",E48*G48)</f>
        <v/>
      </c>
      <c r="K48">
        <f>IF(I48="","",IF(AND(D48&lt;&gt;"Discontinued",TODAY()&gt;I48),TODAY()-I48,0))</f>
        <v/>
      </c>
      <c r="L48">
        <f>IF(B48="","",IF(D48="Discontinued","Retire",IF(E48&lt;=F48,"Reorder now",IF(K48&gt;0,"Restock overdue","OK"))))</f>
        <v/>
      </c>
    </row>
    <row r="49">
      <c r="G49" s="13" t="n"/>
      <c r="H49" s="12" t="n"/>
      <c r="I49" s="12" t="n"/>
      <c r="J49" s="13">
        <f>IF(E49="","",E49*G49)</f>
        <v/>
      </c>
      <c r="K49">
        <f>IF(I49="","",IF(AND(D49&lt;&gt;"Discontinued",TODAY()&gt;I49),TODAY()-I49,0))</f>
        <v/>
      </c>
      <c r="L49">
        <f>IF(B49="","",IF(D49="Discontinued","Retire",IF(E49&lt;=F49,"Reorder now",IF(K49&gt;0,"Restock overdue","OK"))))</f>
        <v/>
      </c>
    </row>
    <row r="50">
      <c r="G50" s="13" t="n"/>
      <c r="H50" s="12" t="n"/>
      <c r="I50" s="12" t="n"/>
      <c r="J50" s="13">
        <f>IF(E50="","",E50*G50)</f>
        <v/>
      </c>
      <c r="K50">
        <f>IF(I50="","",IF(AND(D50&lt;&gt;"Discontinued",TODAY()&gt;I50),TODAY()-I50,0))</f>
        <v/>
      </c>
      <c r="L50">
        <f>IF(B50="","",IF(D50="Discontinued","Retire",IF(E50&lt;=F50,"Reorder now",IF(K50&gt;0,"Restock overdue","OK"))))</f>
        <v/>
      </c>
    </row>
    <row r="51">
      <c r="G51" s="13" t="n"/>
      <c r="H51" s="12" t="n"/>
      <c r="I51" s="12" t="n"/>
      <c r="J51" s="13">
        <f>IF(E51="","",E51*G51)</f>
        <v/>
      </c>
      <c r="K51">
        <f>IF(I51="","",IF(AND(D51&lt;&gt;"Discontinued",TODAY()&gt;I51),TODAY()-I51,0))</f>
        <v/>
      </c>
      <c r="L51">
        <f>IF(B51="","",IF(D51="Discontinued","Retire",IF(E51&lt;=F51,"Reorder now",IF(K51&gt;0,"Restock overdue","OK"))))</f>
        <v/>
      </c>
    </row>
    <row r="52">
      <c r="G52" s="13" t="n"/>
      <c r="H52" s="12" t="n"/>
      <c r="I52" s="12" t="n"/>
      <c r="J52" s="13">
        <f>IF(E52="","",E52*G52)</f>
        <v/>
      </c>
      <c r="K52">
        <f>IF(I52="","",IF(AND(D52&lt;&gt;"Discontinued",TODAY()&gt;I52),TODAY()-I52,0))</f>
        <v/>
      </c>
      <c r="L52">
        <f>IF(B52="","",IF(D52="Discontinued","Retire",IF(E52&lt;=F52,"Reorder now",IF(K52&gt;0,"Restock overdue","OK"))))</f>
        <v/>
      </c>
    </row>
    <row r="53">
      <c r="G53" s="13" t="n"/>
      <c r="H53" s="12" t="n"/>
      <c r="I53" s="12" t="n"/>
      <c r="J53" s="13">
        <f>IF(E53="","",E53*G53)</f>
        <v/>
      </c>
      <c r="K53">
        <f>IF(I53="","",IF(AND(D53&lt;&gt;"Discontinued",TODAY()&gt;I53),TODAY()-I53,0))</f>
        <v/>
      </c>
      <c r="L53">
        <f>IF(B53="","",IF(D53="Discontinued","Retire",IF(E53&lt;=F53,"Reorder now",IF(K53&gt;0,"Restock overdue","OK"))))</f>
        <v/>
      </c>
    </row>
    <row r="54">
      <c r="G54" s="13" t="n"/>
      <c r="H54" s="12" t="n"/>
      <c r="I54" s="12" t="n"/>
      <c r="J54" s="13">
        <f>IF(E54="","",E54*G54)</f>
        <v/>
      </c>
      <c r="K54">
        <f>IF(I54="","",IF(AND(D54&lt;&gt;"Discontinued",TODAY()&gt;I54),TODAY()-I54,0))</f>
        <v/>
      </c>
      <c r="L54">
        <f>IF(B54="","",IF(D54="Discontinued","Retire",IF(E54&lt;=F54,"Reorder now",IF(K54&gt;0,"Restock overdue","OK"))))</f>
        <v/>
      </c>
    </row>
    <row r="55">
      <c r="G55" s="13" t="n"/>
      <c r="H55" s="12" t="n"/>
      <c r="I55" s="12" t="n"/>
      <c r="J55" s="13">
        <f>IF(E55="","",E55*G55)</f>
        <v/>
      </c>
      <c r="K55">
        <f>IF(I55="","",IF(AND(D55&lt;&gt;"Discontinued",TODAY()&gt;I55),TODAY()-I55,0))</f>
        <v/>
      </c>
      <c r="L55">
        <f>IF(B55="","",IF(D55="Discontinued","Retire",IF(E55&lt;=F55,"Reorder now",IF(K55&gt;0,"Restock overdue","OK"))))</f>
        <v/>
      </c>
    </row>
    <row r="56">
      <c r="G56" s="13" t="n"/>
      <c r="H56" s="12" t="n"/>
      <c r="I56" s="12" t="n"/>
      <c r="J56" s="13">
        <f>IF(E56="","",E56*G56)</f>
        <v/>
      </c>
      <c r="K56">
        <f>IF(I56="","",IF(AND(D56&lt;&gt;"Discontinued",TODAY()&gt;I56),TODAY()-I56,0))</f>
        <v/>
      </c>
      <c r="L56">
        <f>IF(B56="","",IF(D56="Discontinued","Retire",IF(E56&lt;=F56,"Reorder now",IF(K56&gt;0,"Restock overdue","OK"))))</f>
        <v/>
      </c>
    </row>
    <row r="57">
      <c r="G57" s="13" t="n"/>
      <c r="H57" s="12" t="n"/>
      <c r="I57" s="12" t="n"/>
      <c r="J57" s="13">
        <f>IF(E57="","",E57*G57)</f>
        <v/>
      </c>
      <c r="K57">
        <f>IF(I57="","",IF(AND(D57&lt;&gt;"Discontinued",TODAY()&gt;I57),TODAY()-I57,0))</f>
        <v/>
      </c>
      <c r="L57">
        <f>IF(B57="","",IF(D57="Discontinued","Retire",IF(E57&lt;=F57,"Reorder now",IF(K57&gt;0,"Restock overdue","OK"))))</f>
        <v/>
      </c>
    </row>
    <row r="58">
      <c r="G58" s="13" t="n"/>
      <c r="H58" s="12" t="n"/>
      <c r="I58" s="12" t="n"/>
      <c r="J58" s="13">
        <f>IF(E58="","",E58*G58)</f>
        <v/>
      </c>
      <c r="K58">
        <f>IF(I58="","",IF(AND(D58&lt;&gt;"Discontinued",TODAY()&gt;I58),TODAY()-I58,0))</f>
        <v/>
      </c>
      <c r="L58">
        <f>IF(B58="","",IF(D58="Discontinued","Retire",IF(E58&lt;=F58,"Reorder now",IF(K58&gt;0,"Restock overdue","OK"))))</f>
        <v/>
      </c>
    </row>
    <row r="59">
      <c r="G59" s="13" t="n"/>
      <c r="H59" s="12" t="n"/>
      <c r="I59" s="12" t="n"/>
      <c r="J59" s="13">
        <f>IF(E59="","",E59*G59)</f>
        <v/>
      </c>
      <c r="K59">
        <f>IF(I59="","",IF(AND(D59&lt;&gt;"Discontinued",TODAY()&gt;I59),TODAY()-I59,0))</f>
        <v/>
      </c>
      <c r="L59">
        <f>IF(B59="","",IF(D59="Discontinued","Retire",IF(E59&lt;=F59,"Reorder now",IF(K59&gt;0,"Restock overdue","OK"))))</f>
        <v/>
      </c>
    </row>
    <row r="60">
      <c r="G60" s="13" t="n"/>
      <c r="H60" s="12" t="n"/>
      <c r="I60" s="12" t="n"/>
      <c r="J60" s="13">
        <f>IF(E60="","",E60*G60)</f>
        <v/>
      </c>
      <c r="K60">
        <f>IF(I60="","",IF(AND(D60&lt;&gt;"Discontinued",TODAY()&gt;I60),TODAY()-I60,0))</f>
        <v/>
      </c>
      <c r="L60">
        <f>IF(B60="","",IF(D60="Discontinued","Retire",IF(E60&lt;=F60,"Reorder now",IF(K60&gt;0,"Restock overdue","OK"))))</f>
        <v/>
      </c>
    </row>
    <row r="61">
      <c r="G61" s="13" t="n"/>
      <c r="H61" s="12" t="n"/>
      <c r="I61" s="12" t="n"/>
      <c r="J61" s="13">
        <f>IF(E61="","",E61*G61)</f>
        <v/>
      </c>
      <c r="K61">
        <f>IF(I61="","",IF(AND(D61&lt;&gt;"Discontinued",TODAY()&gt;I61),TODAY()-I61,0))</f>
        <v/>
      </c>
      <c r="L61">
        <f>IF(B61="","",IF(D61="Discontinued","Retire",IF(E61&lt;=F61,"Reorder now",IF(K61&gt;0,"Restock overdue","OK"))))</f>
        <v/>
      </c>
    </row>
    <row r="62">
      <c r="G62" s="13" t="n"/>
      <c r="H62" s="12" t="n"/>
      <c r="I62" s="12" t="n"/>
      <c r="J62" s="13">
        <f>IF(E62="","",E62*G62)</f>
        <v/>
      </c>
      <c r="K62">
        <f>IF(I62="","",IF(AND(D62&lt;&gt;"Discontinued",TODAY()&gt;I62),TODAY()-I62,0))</f>
        <v/>
      </c>
      <c r="L62">
        <f>IF(B62="","",IF(D62="Discontinued","Retire",IF(E62&lt;=F62,"Reorder now",IF(K62&gt;0,"Restock overdue","OK"))))</f>
        <v/>
      </c>
    </row>
    <row r="63">
      <c r="G63" s="13" t="n"/>
      <c r="H63" s="12" t="n"/>
      <c r="I63" s="12" t="n"/>
      <c r="J63" s="13">
        <f>IF(E63="","",E63*G63)</f>
        <v/>
      </c>
      <c r="K63">
        <f>IF(I63="","",IF(AND(D63&lt;&gt;"Discontinued",TODAY()&gt;I63),TODAY()-I63,0))</f>
        <v/>
      </c>
      <c r="L63">
        <f>IF(B63="","",IF(D63="Discontinued","Retire",IF(E63&lt;=F63,"Reorder now",IF(K63&gt;0,"Restock overdue","OK"))))</f>
        <v/>
      </c>
    </row>
    <row r="64">
      <c r="G64" s="13" t="n"/>
      <c r="H64" s="12" t="n"/>
      <c r="I64" s="12" t="n"/>
      <c r="J64" s="13">
        <f>IF(E64="","",E64*G64)</f>
        <v/>
      </c>
      <c r="K64">
        <f>IF(I64="","",IF(AND(D64&lt;&gt;"Discontinued",TODAY()&gt;I64),TODAY()-I64,0))</f>
        <v/>
      </c>
      <c r="L64">
        <f>IF(B64="","",IF(D64="Discontinued","Retire",IF(E64&lt;=F64,"Reorder now",IF(K64&gt;0,"Restock overdue","OK"))))</f>
        <v/>
      </c>
    </row>
    <row r="65">
      <c r="G65" s="13" t="n"/>
      <c r="H65" s="12" t="n"/>
      <c r="I65" s="12" t="n"/>
      <c r="J65" s="13">
        <f>IF(E65="","",E65*G65)</f>
        <v/>
      </c>
      <c r="K65">
        <f>IF(I65="","",IF(AND(D65&lt;&gt;"Discontinued",TODAY()&gt;I65),TODAY()-I65,0))</f>
        <v/>
      </c>
      <c r="L65">
        <f>IF(B65="","",IF(D65="Discontinued","Retire",IF(E65&lt;=F65,"Reorder now",IF(K65&gt;0,"Restock overdue","OK"))))</f>
        <v/>
      </c>
    </row>
    <row r="66">
      <c r="G66" s="13" t="n"/>
      <c r="H66" s="12" t="n"/>
      <c r="I66" s="12" t="n"/>
      <c r="J66" s="13">
        <f>IF(E66="","",E66*G66)</f>
        <v/>
      </c>
      <c r="K66">
        <f>IF(I66="","",IF(AND(D66&lt;&gt;"Discontinued",TODAY()&gt;I66),TODAY()-I66,0))</f>
        <v/>
      </c>
      <c r="L66">
        <f>IF(B66="","",IF(D66="Discontinued","Retire",IF(E66&lt;=F66,"Reorder now",IF(K66&gt;0,"Restock overdue","OK"))))</f>
        <v/>
      </c>
    </row>
    <row r="67">
      <c r="G67" s="13" t="n"/>
      <c r="H67" s="12" t="n"/>
      <c r="I67" s="12" t="n"/>
      <c r="J67" s="13">
        <f>IF(E67="","",E67*G67)</f>
        <v/>
      </c>
      <c r="K67">
        <f>IF(I67="","",IF(AND(D67&lt;&gt;"Discontinued",TODAY()&gt;I67),TODAY()-I67,0))</f>
        <v/>
      </c>
      <c r="L67">
        <f>IF(B67="","",IF(D67="Discontinued","Retire",IF(E67&lt;=F67,"Reorder now",IF(K67&gt;0,"Restock overdue","OK"))))</f>
        <v/>
      </c>
    </row>
    <row r="68">
      <c r="G68" s="13" t="n"/>
      <c r="H68" s="12" t="n"/>
      <c r="I68" s="12" t="n"/>
      <c r="J68" s="13">
        <f>IF(E68="","",E68*G68)</f>
        <v/>
      </c>
      <c r="K68">
        <f>IF(I68="","",IF(AND(D68&lt;&gt;"Discontinued",TODAY()&gt;I68),TODAY()-I68,0))</f>
        <v/>
      </c>
      <c r="L68">
        <f>IF(B68="","",IF(D68="Discontinued","Retire",IF(E68&lt;=F68,"Reorder now",IF(K68&gt;0,"Restock overdue","OK"))))</f>
        <v/>
      </c>
    </row>
    <row r="69">
      <c r="G69" s="13" t="n"/>
      <c r="H69" s="12" t="n"/>
      <c r="I69" s="12" t="n"/>
      <c r="J69" s="13">
        <f>IF(E69="","",E69*G69)</f>
        <v/>
      </c>
      <c r="K69">
        <f>IF(I69="","",IF(AND(D69&lt;&gt;"Discontinued",TODAY()&gt;I69),TODAY()-I69,0))</f>
        <v/>
      </c>
      <c r="L69">
        <f>IF(B69="","",IF(D69="Discontinued","Retire",IF(E69&lt;=F69,"Reorder now",IF(K69&gt;0,"Restock overdue","OK"))))</f>
        <v/>
      </c>
    </row>
    <row r="70">
      <c r="G70" s="13" t="n"/>
      <c r="H70" s="12" t="n"/>
      <c r="I70" s="12" t="n"/>
      <c r="J70" s="13">
        <f>IF(E70="","",E70*G70)</f>
        <v/>
      </c>
      <c r="K70">
        <f>IF(I70="","",IF(AND(D70&lt;&gt;"Discontinued",TODAY()&gt;I70),TODAY()-I70,0))</f>
        <v/>
      </c>
      <c r="L70">
        <f>IF(B70="","",IF(D70="Discontinued","Retire",IF(E70&lt;=F70,"Reorder now",IF(K70&gt;0,"Restock overdue","OK"))))</f>
        <v/>
      </c>
    </row>
    <row r="71">
      <c r="G71" s="13" t="n"/>
      <c r="H71" s="12" t="n"/>
      <c r="I71" s="12" t="n"/>
      <c r="J71" s="13">
        <f>IF(E71="","",E71*G71)</f>
        <v/>
      </c>
      <c r="K71">
        <f>IF(I71="","",IF(AND(D71&lt;&gt;"Discontinued",TODAY()&gt;I71),TODAY()-I71,0))</f>
        <v/>
      </c>
      <c r="L71">
        <f>IF(B71="","",IF(D71="Discontinued","Retire",IF(E71&lt;=F71,"Reorder now",IF(K71&gt;0,"Restock overdue","OK"))))</f>
        <v/>
      </c>
    </row>
    <row r="72">
      <c r="G72" s="13" t="n"/>
      <c r="H72" s="12" t="n"/>
      <c r="I72" s="12" t="n"/>
      <c r="J72" s="13">
        <f>IF(E72="","",E72*G72)</f>
        <v/>
      </c>
      <c r="K72">
        <f>IF(I72="","",IF(AND(D72&lt;&gt;"Discontinued",TODAY()&gt;I72),TODAY()-I72,0))</f>
        <v/>
      </c>
      <c r="L72">
        <f>IF(B72="","",IF(D72="Discontinued","Retire",IF(E72&lt;=F72,"Reorder now",IF(K72&gt;0,"Restock overdue","OK"))))</f>
        <v/>
      </c>
    </row>
    <row r="73">
      <c r="G73" s="13" t="n"/>
      <c r="H73" s="12" t="n"/>
      <c r="I73" s="12" t="n"/>
      <c r="J73" s="13">
        <f>IF(E73="","",E73*G73)</f>
        <v/>
      </c>
      <c r="K73">
        <f>IF(I73="","",IF(AND(D73&lt;&gt;"Discontinued",TODAY()&gt;I73),TODAY()-I73,0))</f>
        <v/>
      </c>
      <c r="L73">
        <f>IF(B73="","",IF(D73="Discontinued","Retire",IF(E73&lt;=F73,"Reorder now",IF(K73&gt;0,"Restock overdue","OK"))))</f>
        <v/>
      </c>
    </row>
    <row r="74">
      <c r="G74" s="13" t="n"/>
      <c r="H74" s="12" t="n"/>
      <c r="I74" s="12" t="n"/>
      <c r="J74" s="13">
        <f>IF(E74="","",E74*G74)</f>
        <v/>
      </c>
      <c r="K74">
        <f>IF(I74="","",IF(AND(D74&lt;&gt;"Discontinued",TODAY()&gt;I74),TODAY()-I74,0))</f>
        <v/>
      </c>
      <c r="L74">
        <f>IF(B74="","",IF(D74="Discontinued","Retire",IF(E74&lt;=F74,"Reorder now",IF(K74&gt;0,"Restock overdue","OK"))))</f>
        <v/>
      </c>
    </row>
    <row r="75">
      <c r="G75" s="13" t="n"/>
      <c r="H75" s="12" t="n"/>
      <c r="I75" s="12" t="n"/>
      <c r="J75" s="13">
        <f>IF(E75="","",E75*G75)</f>
        <v/>
      </c>
      <c r="K75">
        <f>IF(I75="","",IF(AND(D75&lt;&gt;"Discontinued",TODAY()&gt;I75),TODAY()-I75,0))</f>
        <v/>
      </c>
      <c r="L75">
        <f>IF(B75="","",IF(D75="Discontinued","Retire",IF(E75&lt;=F75,"Reorder now",IF(K75&gt;0,"Restock overdue","OK"))))</f>
        <v/>
      </c>
    </row>
    <row r="76">
      <c r="G76" s="13" t="n"/>
      <c r="H76" s="12" t="n"/>
      <c r="I76" s="12" t="n"/>
      <c r="J76" s="13">
        <f>IF(E76="","",E76*G76)</f>
        <v/>
      </c>
      <c r="K76">
        <f>IF(I76="","",IF(AND(D76&lt;&gt;"Discontinued",TODAY()&gt;I76),TODAY()-I76,0))</f>
        <v/>
      </c>
      <c r="L76">
        <f>IF(B76="","",IF(D76="Discontinued","Retire",IF(E76&lt;=F76,"Reorder now",IF(K76&gt;0,"Restock overdue","OK"))))</f>
        <v/>
      </c>
    </row>
    <row r="77">
      <c r="G77" s="13" t="n"/>
      <c r="H77" s="12" t="n"/>
      <c r="I77" s="12" t="n"/>
      <c r="J77" s="13">
        <f>IF(E77="","",E77*G77)</f>
        <v/>
      </c>
      <c r="K77">
        <f>IF(I77="","",IF(AND(D77&lt;&gt;"Discontinued",TODAY()&gt;I77),TODAY()-I77,0))</f>
        <v/>
      </c>
      <c r="L77">
        <f>IF(B77="","",IF(D77="Discontinued","Retire",IF(E77&lt;=F77,"Reorder now",IF(K77&gt;0,"Restock overdue","OK"))))</f>
        <v/>
      </c>
    </row>
    <row r="78">
      <c r="G78" s="13" t="n"/>
      <c r="H78" s="12" t="n"/>
      <c r="I78" s="12" t="n"/>
      <c r="J78" s="13">
        <f>IF(E78="","",E78*G78)</f>
        <v/>
      </c>
      <c r="K78">
        <f>IF(I78="","",IF(AND(D78&lt;&gt;"Discontinued",TODAY()&gt;I78),TODAY()-I78,0))</f>
        <v/>
      </c>
      <c r="L78">
        <f>IF(B78="","",IF(D78="Discontinued","Retire",IF(E78&lt;=F78,"Reorder now",IF(K78&gt;0,"Restock overdue","OK"))))</f>
        <v/>
      </c>
    </row>
    <row r="79">
      <c r="G79" s="13" t="n"/>
      <c r="H79" s="12" t="n"/>
      <c r="I79" s="12" t="n"/>
      <c r="J79" s="13">
        <f>IF(E79="","",E79*G79)</f>
        <v/>
      </c>
      <c r="K79">
        <f>IF(I79="","",IF(AND(D79&lt;&gt;"Discontinued",TODAY()&gt;I79),TODAY()-I79,0))</f>
        <v/>
      </c>
      <c r="L79">
        <f>IF(B79="","",IF(D79="Discontinued","Retire",IF(E79&lt;=F79,"Reorder now",IF(K79&gt;0,"Restock overdue","OK"))))</f>
        <v/>
      </c>
    </row>
    <row r="80">
      <c r="G80" s="13" t="n"/>
      <c r="H80" s="12" t="n"/>
      <c r="I80" s="12" t="n"/>
      <c r="J80" s="13">
        <f>IF(E80="","",E80*G80)</f>
        <v/>
      </c>
      <c r="K80">
        <f>IF(I80="","",IF(AND(D80&lt;&gt;"Discontinued",TODAY()&gt;I80),TODAY()-I80,0))</f>
        <v/>
      </c>
      <c r="L80">
        <f>IF(B80="","",IF(D80="Discontinued","Retire",IF(E80&lt;=F80,"Reorder now",IF(K80&gt;0,"Restock overdue","OK"))))</f>
        <v/>
      </c>
    </row>
    <row r="81">
      <c r="G81" s="13" t="n"/>
      <c r="H81" s="12" t="n"/>
      <c r="I81" s="12" t="n"/>
      <c r="J81" s="13">
        <f>IF(E81="","",E81*G81)</f>
        <v/>
      </c>
      <c r="K81">
        <f>IF(I81="","",IF(AND(D81&lt;&gt;"Discontinued",TODAY()&gt;I81),TODAY()-I81,0))</f>
        <v/>
      </c>
      <c r="L81">
        <f>IF(B81="","",IF(D81="Discontinued","Retire",IF(E81&lt;=F81,"Reorder now",IF(K81&gt;0,"Restock overdue","OK"))))</f>
        <v/>
      </c>
    </row>
    <row r="82">
      <c r="G82" s="13" t="n"/>
      <c r="H82" s="12" t="n"/>
      <c r="I82" s="12" t="n"/>
      <c r="J82" s="13">
        <f>IF(E82="","",E82*G82)</f>
        <v/>
      </c>
      <c r="K82">
        <f>IF(I82="","",IF(AND(D82&lt;&gt;"Discontinued",TODAY()&gt;I82),TODAY()-I82,0))</f>
        <v/>
      </c>
      <c r="L82">
        <f>IF(B82="","",IF(D82="Discontinued","Retire",IF(E82&lt;=F82,"Reorder now",IF(K82&gt;0,"Restock overdue","OK"))))</f>
        <v/>
      </c>
    </row>
    <row r="83">
      <c r="G83" s="13" t="n"/>
      <c r="H83" s="12" t="n"/>
      <c r="I83" s="12" t="n"/>
      <c r="J83" s="13">
        <f>IF(E83="","",E83*G83)</f>
        <v/>
      </c>
      <c r="K83">
        <f>IF(I83="","",IF(AND(D83&lt;&gt;"Discontinued",TODAY()&gt;I83),TODAY()-I83,0))</f>
        <v/>
      </c>
      <c r="L83">
        <f>IF(B83="","",IF(D83="Discontinued","Retire",IF(E83&lt;=F83,"Reorder now",IF(K83&gt;0,"Restock overdue","OK"))))</f>
        <v/>
      </c>
    </row>
    <row r="84">
      <c r="G84" s="13" t="n"/>
      <c r="H84" s="12" t="n"/>
      <c r="I84" s="12" t="n"/>
      <c r="J84" s="13">
        <f>IF(E84="","",E84*G84)</f>
        <v/>
      </c>
      <c r="K84">
        <f>IF(I84="","",IF(AND(D84&lt;&gt;"Discontinued",TODAY()&gt;I84),TODAY()-I84,0))</f>
        <v/>
      </c>
      <c r="L84">
        <f>IF(B84="","",IF(D84="Discontinued","Retire",IF(E84&lt;=F84,"Reorder now",IF(K84&gt;0,"Restock overdue","OK"))))</f>
        <v/>
      </c>
    </row>
    <row r="85">
      <c r="G85" s="13" t="n"/>
      <c r="H85" s="12" t="n"/>
      <c r="I85" s="12" t="n"/>
      <c r="J85" s="13">
        <f>IF(E85="","",E85*G85)</f>
        <v/>
      </c>
      <c r="K85">
        <f>IF(I85="","",IF(AND(D85&lt;&gt;"Discontinued",TODAY()&gt;I85),TODAY()-I85,0))</f>
        <v/>
      </c>
      <c r="L85">
        <f>IF(B85="","",IF(D85="Discontinued","Retire",IF(E85&lt;=F85,"Reorder now",IF(K85&gt;0,"Restock overdue","OK"))))</f>
        <v/>
      </c>
    </row>
    <row r="86">
      <c r="G86" s="13" t="n"/>
      <c r="H86" s="12" t="n"/>
      <c r="I86" s="12" t="n"/>
      <c r="J86" s="13">
        <f>IF(E86="","",E86*G86)</f>
        <v/>
      </c>
      <c r="K86">
        <f>IF(I86="","",IF(AND(D86&lt;&gt;"Discontinued",TODAY()&gt;I86),TODAY()-I86,0))</f>
        <v/>
      </c>
      <c r="L86">
        <f>IF(B86="","",IF(D86="Discontinued","Retire",IF(E86&lt;=F86,"Reorder now",IF(K86&gt;0,"Restock overdue","OK"))))</f>
        <v/>
      </c>
    </row>
    <row r="87">
      <c r="G87" s="13" t="n"/>
      <c r="H87" s="12" t="n"/>
      <c r="I87" s="12" t="n"/>
      <c r="J87" s="13">
        <f>IF(E87="","",E87*G87)</f>
        <v/>
      </c>
      <c r="K87">
        <f>IF(I87="","",IF(AND(D87&lt;&gt;"Discontinued",TODAY()&gt;I87),TODAY()-I87,0))</f>
        <v/>
      </c>
      <c r="L87">
        <f>IF(B87="","",IF(D87="Discontinued","Retire",IF(E87&lt;=F87,"Reorder now",IF(K87&gt;0,"Restock overdue","OK"))))</f>
        <v/>
      </c>
    </row>
    <row r="88">
      <c r="G88" s="13" t="n"/>
      <c r="H88" s="12" t="n"/>
      <c r="I88" s="12" t="n"/>
      <c r="J88" s="13">
        <f>IF(E88="","",E88*G88)</f>
        <v/>
      </c>
      <c r="K88">
        <f>IF(I88="","",IF(AND(D88&lt;&gt;"Discontinued",TODAY()&gt;I88),TODAY()-I88,0))</f>
        <v/>
      </c>
      <c r="L88">
        <f>IF(B88="","",IF(D88="Discontinued","Retire",IF(E88&lt;=F88,"Reorder now",IF(K88&gt;0,"Restock overdue","OK"))))</f>
        <v/>
      </c>
    </row>
    <row r="89">
      <c r="G89" s="13" t="n"/>
      <c r="H89" s="12" t="n"/>
      <c r="I89" s="12" t="n"/>
      <c r="J89" s="13">
        <f>IF(E89="","",E89*G89)</f>
        <v/>
      </c>
      <c r="K89">
        <f>IF(I89="","",IF(AND(D89&lt;&gt;"Discontinued",TODAY()&gt;I89),TODAY()-I89,0))</f>
        <v/>
      </c>
      <c r="L89">
        <f>IF(B89="","",IF(D89="Discontinued","Retire",IF(E89&lt;=F89,"Reorder now",IF(K89&gt;0,"Restock overdue","OK"))))</f>
        <v/>
      </c>
    </row>
    <row r="90">
      <c r="G90" s="13" t="n"/>
      <c r="H90" s="12" t="n"/>
      <c r="I90" s="12" t="n"/>
      <c r="J90" s="13">
        <f>IF(E90="","",E90*G90)</f>
        <v/>
      </c>
      <c r="K90">
        <f>IF(I90="","",IF(AND(D90&lt;&gt;"Discontinued",TODAY()&gt;I90),TODAY()-I90,0))</f>
        <v/>
      </c>
      <c r="L90">
        <f>IF(B90="","",IF(D90="Discontinued","Retire",IF(E90&lt;=F90,"Reorder now",IF(K90&gt;0,"Restock overdue","OK"))))</f>
        <v/>
      </c>
    </row>
    <row r="91">
      <c r="G91" s="13" t="n"/>
      <c r="H91" s="12" t="n"/>
      <c r="I91" s="12" t="n"/>
      <c r="J91" s="13">
        <f>IF(E91="","",E91*G91)</f>
        <v/>
      </c>
      <c r="K91">
        <f>IF(I91="","",IF(AND(D91&lt;&gt;"Discontinued",TODAY()&gt;I91),TODAY()-I91,0))</f>
        <v/>
      </c>
      <c r="L91">
        <f>IF(B91="","",IF(D91="Discontinued","Retire",IF(E91&lt;=F91,"Reorder now",IF(K91&gt;0,"Restock overdue","OK"))))</f>
        <v/>
      </c>
    </row>
    <row r="92">
      <c r="G92" s="13" t="n"/>
      <c r="H92" s="12" t="n"/>
      <c r="I92" s="12" t="n"/>
      <c r="J92" s="13">
        <f>IF(E92="","",E92*G92)</f>
        <v/>
      </c>
      <c r="K92">
        <f>IF(I92="","",IF(AND(D92&lt;&gt;"Discontinued",TODAY()&gt;I92),TODAY()-I92,0))</f>
        <v/>
      </c>
      <c r="L92">
        <f>IF(B92="","",IF(D92="Discontinued","Retire",IF(E92&lt;=F92,"Reorder now",IF(K92&gt;0,"Restock overdue","OK"))))</f>
        <v/>
      </c>
    </row>
    <row r="93">
      <c r="G93" s="13" t="n"/>
      <c r="H93" s="12" t="n"/>
      <c r="I93" s="12" t="n"/>
      <c r="J93" s="13">
        <f>IF(E93="","",E93*G93)</f>
        <v/>
      </c>
      <c r="K93">
        <f>IF(I93="","",IF(AND(D93&lt;&gt;"Discontinued",TODAY()&gt;I93),TODAY()-I93,0))</f>
        <v/>
      </c>
      <c r="L93">
        <f>IF(B93="","",IF(D93="Discontinued","Retire",IF(E93&lt;=F93,"Reorder now",IF(K93&gt;0,"Restock overdue","OK"))))</f>
        <v/>
      </c>
    </row>
    <row r="94">
      <c r="G94" s="13" t="n"/>
      <c r="H94" s="12" t="n"/>
      <c r="I94" s="12" t="n"/>
      <c r="J94" s="13">
        <f>IF(E94="","",E94*G94)</f>
        <v/>
      </c>
      <c r="K94">
        <f>IF(I94="","",IF(AND(D94&lt;&gt;"Discontinued",TODAY()&gt;I94),TODAY()-I94,0))</f>
        <v/>
      </c>
      <c r="L94">
        <f>IF(B94="","",IF(D94="Discontinued","Retire",IF(E94&lt;=F94,"Reorder now",IF(K94&gt;0,"Restock overdue","OK"))))</f>
        <v/>
      </c>
    </row>
    <row r="95">
      <c r="G95" s="13" t="n"/>
      <c r="H95" s="12" t="n"/>
      <c r="I95" s="12" t="n"/>
      <c r="J95" s="13">
        <f>IF(E95="","",E95*G95)</f>
        <v/>
      </c>
      <c r="K95">
        <f>IF(I95="","",IF(AND(D95&lt;&gt;"Discontinued",TODAY()&gt;I95),TODAY()-I95,0))</f>
        <v/>
      </c>
      <c r="L95">
        <f>IF(B95="","",IF(D95="Discontinued","Retire",IF(E95&lt;=F95,"Reorder now",IF(K95&gt;0,"Restock overdue","OK"))))</f>
        <v/>
      </c>
    </row>
    <row r="96">
      <c r="G96" s="13" t="n"/>
      <c r="H96" s="12" t="n"/>
      <c r="I96" s="12" t="n"/>
      <c r="J96" s="13">
        <f>IF(E96="","",E96*G96)</f>
        <v/>
      </c>
      <c r="K96">
        <f>IF(I96="","",IF(AND(D96&lt;&gt;"Discontinued",TODAY()&gt;I96),TODAY()-I96,0))</f>
        <v/>
      </c>
      <c r="L96">
        <f>IF(B96="","",IF(D96="Discontinued","Retire",IF(E96&lt;=F96,"Reorder now",IF(K96&gt;0,"Restock overdue","OK"))))</f>
        <v/>
      </c>
    </row>
    <row r="97">
      <c r="G97" s="13" t="n"/>
      <c r="H97" s="12" t="n"/>
      <c r="I97" s="12" t="n"/>
      <c r="J97" s="13">
        <f>IF(E97="","",E97*G97)</f>
        <v/>
      </c>
      <c r="K97">
        <f>IF(I97="","",IF(AND(D97&lt;&gt;"Discontinued",TODAY()&gt;I97),TODAY()-I97,0))</f>
        <v/>
      </c>
      <c r="L97">
        <f>IF(B97="","",IF(D97="Discontinued","Retire",IF(E97&lt;=F97,"Reorder now",IF(K97&gt;0,"Restock overdue","OK"))))</f>
        <v/>
      </c>
    </row>
    <row r="98">
      <c r="G98" s="13" t="n"/>
      <c r="H98" s="12" t="n"/>
      <c r="I98" s="12" t="n"/>
      <c r="J98" s="13">
        <f>IF(E98="","",E98*G98)</f>
        <v/>
      </c>
      <c r="K98">
        <f>IF(I98="","",IF(AND(D98&lt;&gt;"Discontinued",TODAY()&gt;I98),TODAY()-I98,0))</f>
        <v/>
      </c>
      <c r="L98">
        <f>IF(B98="","",IF(D98="Discontinued","Retire",IF(E98&lt;=F98,"Reorder now",IF(K98&gt;0,"Restock overdue","OK"))))</f>
        <v/>
      </c>
    </row>
    <row r="99">
      <c r="G99" s="13" t="n"/>
      <c r="H99" s="12" t="n"/>
      <c r="I99" s="12" t="n"/>
      <c r="J99" s="13">
        <f>IF(E99="","",E99*G99)</f>
        <v/>
      </c>
      <c r="K99">
        <f>IF(I99="","",IF(AND(D99&lt;&gt;"Discontinued",TODAY()&gt;I99),TODAY()-I99,0))</f>
        <v/>
      </c>
      <c r="L99">
        <f>IF(B99="","",IF(D99="Discontinued","Retire",IF(E99&lt;=F99,"Reorder now",IF(K99&gt;0,"Restock overdue","OK"))))</f>
        <v/>
      </c>
    </row>
    <row r="100">
      <c r="G100" s="13" t="n"/>
      <c r="H100" s="12" t="n"/>
      <c r="I100" s="12" t="n"/>
      <c r="J100" s="13">
        <f>IF(E100="","",E100*G100)</f>
        <v/>
      </c>
      <c r="K100">
        <f>IF(I100="","",IF(AND(D100&lt;&gt;"Discontinued",TODAY()&gt;I100),TODAY()-I100,0))</f>
        <v/>
      </c>
      <c r="L100">
        <f>IF(B100="","",IF(D100="Discontinued","Retire",IF(E100&lt;=F100,"Reorder now",IF(K100&gt;0,"Restock overdue","OK"))))</f>
        <v/>
      </c>
    </row>
    <row r="101">
      <c r="G101" s="13" t="n"/>
      <c r="H101" s="12" t="n"/>
      <c r="I101" s="12" t="n"/>
      <c r="J101" s="13">
        <f>IF(E101="","",E101*G101)</f>
        <v/>
      </c>
      <c r="K101">
        <f>IF(I101="","",IF(AND(D101&lt;&gt;"Discontinued",TODAY()&gt;I101),TODAY()-I101,0))</f>
        <v/>
      </c>
      <c r="L101">
        <f>IF(B101="","",IF(D101="Discontinued","Retire",IF(E101&lt;=F101,"Reorder now",IF(K101&gt;0,"Restock overdue","OK"))))</f>
        <v/>
      </c>
    </row>
    <row r="102">
      <c r="G102" s="13" t="n"/>
      <c r="H102" s="12" t="n"/>
      <c r="I102" s="12" t="n"/>
      <c r="J102" s="13">
        <f>IF(E102="","",E102*G102)</f>
        <v/>
      </c>
      <c r="K102">
        <f>IF(I102="","",IF(AND(D102&lt;&gt;"Discontinued",TODAY()&gt;I102),TODAY()-I102,0))</f>
        <v/>
      </c>
      <c r="L102">
        <f>IF(B102="","",IF(D102="Discontinued","Retire",IF(E102&lt;=F102,"Reorder now",IF(K102&gt;0,"Restock overdue","OK"))))</f>
        <v/>
      </c>
    </row>
    <row r="103">
      <c r="G103" s="13" t="n"/>
      <c r="H103" s="12" t="n"/>
      <c r="I103" s="12" t="n"/>
      <c r="J103" s="13">
        <f>IF(E103="","",E103*G103)</f>
        <v/>
      </c>
      <c r="K103">
        <f>IF(I103="","",IF(AND(D103&lt;&gt;"Discontinued",TODAY()&gt;I103),TODAY()-I103,0))</f>
        <v/>
      </c>
      <c r="L103">
        <f>IF(B103="","",IF(D103="Discontinued","Retire",IF(E103&lt;=F103,"Reorder now",IF(K103&gt;0,"Restock overdue","OK"))))</f>
        <v/>
      </c>
    </row>
    <row r="104">
      <c r="G104" s="13" t="n"/>
      <c r="H104" s="12" t="n"/>
      <c r="I104" s="12" t="n"/>
      <c r="J104" s="13">
        <f>IF(E104="","",E104*G104)</f>
        <v/>
      </c>
      <c r="K104">
        <f>IF(I104="","",IF(AND(D104&lt;&gt;"Discontinued",TODAY()&gt;I104),TODAY()-I104,0))</f>
        <v/>
      </c>
      <c r="L104">
        <f>IF(B104="","",IF(D104="Discontinued","Retire",IF(E104&lt;=F104,"Reorder now",IF(K104&gt;0,"Restock overdue","OK"))))</f>
        <v/>
      </c>
    </row>
    <row r="105">
      <c r="G105" s="13" t="n"/>
      <c r="H105" s="12" t="n"/>
      <c r="I105" s="12" t="n"/>
      <c r="J105" s="13">
        <f>IF(E105="","",E105*G105)</f>
        <v/>
      </c>
      <c r="K105">
        <f>IF(I105="","",IF(AND(D105&lt;&gt;"Discontinued",TODAY()&gt;I105),TODAY()-I105,0))</f>
        <v/>
      </c>
      <c r="L105">
        <f>IF(B105="","",IF(D105="Discontinued","Retire",IF(E105&lt;=F105,"Reorder now",IF(K105&gt;0,"Restock overdue","OK"))))</f>
        <v/>
      </c>
    </row>
    <row r="106">
      <c r="G106" s="13" t="n"/>
      <c r="H106" s="12" t="n"/>
      <c r="I106" s="12" t="n"/>
      <c r="J106" s="13">
        <f>IF(E106="","",E106*G106)</f>
        <v/>
      </c>
      <c r="K106">
        <f>IF(I106="","",IF(AND(D106&lt;&gt;"Discontinued",TODAY()&gt;I106),TODAY()-I106,0))</f>
        <v/>
      </c>
      <c r="L106">
        <f>IF(B106="","",IF(D106="Discontinued","Retire",IF(E106&lt;=F106,"Reorder now",IF(K106&gt;0,"Restock overdue","OK"))))</f>
        <v/>
      </c>
    </row>
    <row r="107">
      <c r="G107" s="13" t="n"/>
      <c r="H107" s="12" t="n"/>
      <c r="I107" s="12" t="n"/>
      <c r="J107" s="13">
        <f>IF(E107="","",E107*G107)</f>
        <v/>
      </c>
      <c r="K107">
        <f>IF(I107="","",IF(AND(D107&lt;&gt;"Discontinued",TODAY()&gt;I107),TODAY()-I107,0))</f>
        <v/>
      </c>
      <c r="L107">
        <f>IF(B107="","",IF(D107="Discontinued","Retire",IF(E107&lt;=F107,"Reorder now",IF(K107&gt;0,"Restock overdue","OK"))))</f>
        <v/>
      </c>
    </row>
    <row r="108">
      <c r="G108" s="13" t="n"/>
      <c r="H108" s="12" t="n"/>
      <c r="I108" s="12" t="n"/>
      <c r="J108" s="13">
        <f>IF(E108="","",E108*G108)</f>
        <v/>
      </c>
      <c r="K108">
        <f>IF(I108="","",IF(AND(D108&lt;&gt;"Discontinued",TODAY()&gt;I108),TODAY()-I108,0))</f>
        <v/>
      </c>
      <c r="L108">
        <f>IF(B108="","",IF(D108="Discontinued","Retire",IF(E108&lt;=F108,"Reorder now",IF(K108&gt;0,"Restock overdue","OK"))))</f>
        <v/>
      </c>
    </row>
    <row r="109">
      <c r="G109" s="13" t="n"/>
      <c r="H109" s="12" t="n"/>
      <c r="I109" s="12" t="n"/>
      <c r="J109" s="13">
        <f>IF(E109="","",E109*G109)</f>
        <v/>
      </c>
      <c r="K109">
        <f>IF(I109="","",IF(AND(D109&lt;&gt;"Discontinued",TODAY()&gt;I109),TODAY()-I109,0))</f>
        <v/>
      </c>
      <c r="L109">
        <f>IF(B109="","",IF(D109="Discontinued","Retire",IF(E109&lt;=F109,"Reorder now",IF(K109&gt;0,"Restock overdue","OK"))))</f>
        <v/>
      </c>
    </row>
    <row r="110">
      <c r="G110" s="13" t="n"/>
      <c r="H110" s="12" t="n"/>
      <c r="I110" s="12" t="n"/>
      <c r="J110" s="13">
        <f>IF(E110="","",E110*G110)</f>
        <v/>
      </c>
      <c r="K110">
        <f>IF(I110="","",IF(AND(D110&lt;&gt;"Discontinued",TODAY()&gt;I110),TODAY()-I110,0))</f>
        <v/>
      </c>
      <c r="L110">
        <f>IF(B110="","",IF(D110="Discontinued","Retire",IF(E110&lt;=F110,"Reorder now",IF(K110&gt;0,"Restock overdue","OK"))))</f>
        <v/>
      </c>
    </row>
    <row r="111">
      <c r="G111" s="13" t="n"/>
      <c r="H111" s="12" t="n"/>
      <c r="I111" s="12" t="n"/>
      <c r="J111" s="13">
        <f>IF(E111="","",E111*G111)</f>
        <v/>
      </c>
      <c r="K111">
        <f>IF(I111="","",IF(AND(D111&lt;&gt;"Discontinued",TODAY()&gt;I111),TODAY()-I111,0))</f>
        <v/>
      </c>
      <c r="L111">
        <f>IF(B111="","",IF(D111="Discontinued","Retire",IF(E111&lt;=F111,"Reorder now",IF(K111&gt;0,"Restock overdue","OK"))))</f>
        <v/>
      </c>
    </row>
    <row r="112">
      <c r="G112" s="13" t="n"/>
      <c r="H112" s="12" t="n"/>
      <c r="I112" s="12" t="n"/>
      <c r="J112" s="13">
        <f>IF(E112="","",E112*G112)</f>
        <v/>
      </c>
      <c r="K112">
        <f>IF(I112="","",IF(AND(D112&lt;&gt;"Discontinued",TODAY()&gt;I112),TODAY()-I112,0))</f>
        <v/>
      </c>
      <c r="L112">
        <f>IF(B112="","",IF(D112="Discontinued","Retire",IF(E112&lt;=F112,"Reorder now",IF(K112&gt;0,"Restock overdue","OK"))))</f>
        <v/>
      </c>
    </row>
    <row r="113">
      <c r="G113" s="13" t="n"/>
      <c r="H113" s="12" t="n"/>
      <c r="I113" s="12" t="n"/>
      <c r="J113" s="13">
        <f>IF(E113="","",E113*G113)</f>
        <v/>
      </c>
      <c r="K113">
        <f>IF(I113="","",IF(AND(D113&lt;&gt;"Discontinued",TODAY()&gt;I113),TODAY()-I113,0))</f>
        <v/>
      </c>
      <c r="L113">
        <f>IF(B113="","",IF(D113="Discontinued","Retire",IF(E113&lt;=F113,"Reorder now",IF(K113&gt;0,"Restock overdue","OK"))))</f>
        <v/>
      </c>
    </row>
    <row r="114">
      <c r="G114" s="13" t="n"/>
      <c r="H114" s="12" t="n"/>
      <c r="I114" s="12" t="n"/>
      <c r="J114" s="13">
        <f>IF(E114="","",E114*G114)</f>
        <v/>
      </c>
      <c r="K114">
        <f>IF(I114="","",IF(AND(D114&lt;&gt;"Discontinued",TODAY()&gt;I114),TODAY()-I114,0))</f>
        <v/>
      </c>
      <c r="L114">
        <f>IF(B114="","",IF(D114="Discontinued","Retire",IF(E114&lt;=F114,"Reorder now",IF(K114&gt;0,"Restock overdue","OK"))))</f>
        <v/>
      </c>
    </row>
    <row r="115">
      <c r="G115" s="13" t="n"/>
      <c r="H115" s="12" t="n"/>
      <c r="I115" s="12" t="n"/>
      <c r="J115" s="13">
        <f>IF(E115="","",E115*G115)</f>
        <v/>
      </c>
      <c r="K115">
        <f>IF(I115="","",IF(AND(D115&lt;&gt;"Discontinued",TODAY()&gt;I115),TODAY()-I115,0))</f>
        <v/>
      </c>
      <c r="L115">
        <f>IF(B115="","",IF(D115="Discontinued","Retire",IF(E115&lt;=F115,"Reorder now",IF(K115&gt;0,"Restock overdue","OK"))))</f>
        <v/>
      </c>
    </row>
    <row r="116">
      <c r="G116" s="13" t="n"/>
      <c r="H116" s="12" t="n"/>
      <c r="I116" s="12" t="n"/>
      <c r="J116" s="13">
        <f>IF(E116="","",E116*G116)</f>
        <v/>
      </c>
      <c r="K116">
        <f>IF(I116="","",IF(AND(D116&lt;&gt;"Discontinued",TODAY()&gt;I116),TODAY()-I116,0))</f>
        <v/>
      </c>
      <c r="L116">
        <f>IF(B116="","",IF(D116="Discontinued","Retire",IF(E116&lt;=F116,"Reorder now",IF(K116&gt;0,"Restock overdue","OK"))))</f>
        <v/>
      </c>
    </row>
    <row r="117">
      <c r="G117" s="13" t="n"/>
      <c r="H117" s="12" t="n"/>
      <c r="I117" s="12" t="n"/>
      <c r="J117" s="13">
        <f>IF(E117="","",E117*G117)</f>
        <v/>
      </c>
      <c r="K117">
        <f>IF(I117="","",IF(AND(D117&lt;&gt;"Discontinued",TODAY()&gt;I117),TODAY()-I117,0))</f>
        <v/>
      </c>
      <c r="L117">
        <f>IF(B117="","",IF(D117="Discontinued","Retire",IF(E117&lt;=F117,"Reorder now",IF(K117&gt;0,"Restock overdue","OK"))))</f>
        <v/>
      </c>
    </row>
    <row r="118">
      <c r="G118" s="13" t="n"/>
      <c r="H118" s="12" t="n"/>
      <c r="I118" s="12" t="n"/>
      <c r="J118" s="13">
        <f>IF(E118="","",E118*G118)</f>
        <v/>
      </c>
      <c r="K118">
        <f>IF(I118="","",IF(AND(D118&lt;&gt;"Discontinued",TODAY()&gt;I118),TODAY()-I118,0))</f>
        <v/>
      </c>
      <c r="L118">
        <f>IF(B118="","",IF(D118="Discontinued","Retire",IF(E118&lt;=F118,"Reorder now",IF(K118&gt;0,"Restock overdue","OK"))))</f>
        <v/>
      </c>
    </row>
    <row r="119">
      <c r="G119" s="13" t="n"/>
      <c r="H119" s="12" t="n"/>
      <c r="I119" s="12" t="n"/>
      <c r="J119" s="13">
        <f>IF(E119="","",E119*G119)</f>
        <v/>
      </c>
      <c r="K119">
        <f>IF(I119="","",IF(AND(D119&lt;&gt;"Discontinued",TODAY()&gt;I119),TODAY()-I119,0))</f>
        <v/>
      </c>
      <c r="L119">
        <f>IF(B119="","",IF(D119="Discontinued","Retire",IF(E119&lt;=F119,"Reorder now",IF(K119&gt;0,"Restock overdue","OK"))))</f>
        <v/>
      </c>
    </row>
    <row r="120">
      <c r="G120" s="13" t="n"/>
      <c r="H120" s="12" t="n"/>
      <c r="I120" s="12" t="n"/>
      <c r="J120" s="13">
        <f>IF(E120="","",E120*G120)</f>
        <v/>
      </c>
      <c r="K120">
        <f>IF(I120="","",IF(AND(D120&lt;&gt;"Discontinued",TODAY()&gt;I120),TODAY()-I120,0))</f>
        <v/>
      </c>
      <c r="L120">
        <f>IF(B120="","",IF(D120="Discontinued","Retire",IF(E120&lt;=F120,"Reorder now",IF(K120&gt;0,"Restock overdue","OK"))))</f>
        <v/>
      </c>
    </row>
    <row r="121">
      <c r="G121" s="13" t="n"/>
      <c r="H121" s="12" t="n"/>
      <c r="I121" s="12" t="n"/>
      <c r="J121" s="13">
        <f>IF(E121="","",E121*G121)</f>
        <v/>
      </c>
      <c r="K121">
        <f>IF(I121="","",IF(AND(D121&lt;&gt;"Discontinued",TODAY()&gt;I121),TODAY()-I121,0))</f>
        <v/>
      </c>
      <c r="L121">
        <f>IF(B121="","",IF(D121="Discontinued","Retire",IF(E121&lt;=F121,"Reorder now",IF(K121&gt;0,"Restock overdue","OK"))))</f>
        <v/>
      </c>
    </row>
    <row r="122">
      <c r="G122" s="13" t="n"/>
      <c r="H122" s="12" t="n"/>
      <c r="I122" s="12" t="n"/>
      <c r="J122" s="13">
        <f>IF(E122="","",E122*G122)</f>
        <v/>
      </c>
      <c r="K122">
        <f>IF(I122="","",IF(AND(D122&lt;&gt;"Discontinued",TODAY()&gt;I122),TODAY()-I122,0))</f>
        <v/>
      </c>
      <c r="L122">
        <f>IF(B122="","",IF(D122="Discontinued","Retire",IF(E122&lt;=F122,"Reorder now",IF(K122&gt;0,"Restock overdue","OK"))))</f>
        <v/>
      </c>
    </row>
    <row r="123">
      <c r="G123" s="13" t="n"/>
      <c r="H123" s="12" t="n"/>
      <c r="I123" s="12" t="n"/>
      <c r="J123" s="13">
        <f>IF(E123="","",E123*G123)</f>
        <v/>
      </c>
      <c r="K123">
        <f>IF(I123="","",IF(AND(D123&lt;&gt;"Discontinued",TODAY()&gt;I123),TODAY()-I123,0))</f>
        <v/>
      </c>
      <c r="L123">
        <f>IF(B123="","",IF(D123="Discontinued","Retire",IF(E123&lt;=F123,"Reorder now",IF(K123&gt;0,"Restock overdue","OK"))))</f>
        <v/>
      </c>
    </row>
    <row r="124">
      <c r="G124" s="13" t="n"/>
      <c r="H124" s="12" t="n"/>
      <c r="I124" s="12" t="n"/>
      <c r="J124" s="13">
        <f>IF(E124="","",E124*G124)</f>
        <v/>
      </c>
      <c r="K124">
        <f>IF(I124="","",IF(AND(D124&lt;&gt;"Discontinued",TODAY()&gt;I124),TODAY()-I124,0))</f>
        <v/>
      </c>
      <c r="L124">
        <f>IF(B124="","",IF(D124="Discontinued","Retire",IF(E124&lt;=F124,"Reorder now",IF(K124&gt;0,"Restock overdue","OK"))))</f>
        <v/>
      </c>
    </row>
    <row r="125">
      <c r="G125" s="13" t="n"/>
      <c r="H125" s="12" t="n"/>
      <c r="I125" s="12" t="n"/>
      <c r="J125" s="13">
        <f>IF(E125="","",E125*G125)</f>
        <v/>
      </c>
      <c r="K125">
        <f>IF(I125="","",IF(AND(D125&lt;&gt;"Discontinued",TODAY()&gt;I125),TODAY()-I125,0))</f>
        <v/>
      </c>
      <c r="L125">
        <f>IF(B125="","",IF(D125="Discontinued","Retire",IF(E125&lt;=F125,"Reorder now",IF(K125&gt;0,"Restock overdue","OK"))))</f>
        <v/>
      </c>
    </row>
    <row r="126">
      <c r="G126" s="13" t="n"/>
      <c r="H126" s="12" t="n"/>
      <c r="I126" s="12" t="n"/>
      <c r="J126" s="13">
        <f>IF(E126="","",E126*G126)</f>
        <v/>
      </c>
      <c r="K126">
        <f>IF(I126="","",IF(AND(D126&lt;&gt;"Discontinued",TODAY()&gt;I126),TODAY()-I126,0))</f>
        <v/>
      </c>
      <c r="L126">
        <f>IF(B126="","",IF(D126="Discontinued","Retire",IF(E126&lt;=F126,"Reorder now",IF(K126&gt;0,"Restock overdue","OK"))))</f>
        <v/>
      </c>
    </row>
    <row r="127">
      <c r="G127" s="13" t="n"/>
      <c r="H127" s="12" t="n"/>
      <c r="I127" s="12" t="n"/>
      <c r="J127" s="13">
        <f>IF(E127="","",E127*G127)</f>
        <v/>
      </c>
      <c r="K127">
        <f>IF(I127="","",IF(AND(D127&lt;&gt;"Discontinued",TODAY()&gt;I127),TODAY()-I127,0))</f>
        <v/>
      </c>
      <c r="L127">
        <f>IF(B127="","",IF(D127="Discontinued","Retire",IF(E127&lt;=F127,"Reorder now",IF(K127&gt;0,"Restock overdue","OK"))))</f>
        <v/>
      </c>
    </row>
    <row r="128">
      <c r="G128" s="13" t="n"/>
      <c r="H128" s="12" t="n"/>
      <c r="I128" s="12" t="n"/>
      <c r="J128" s="13">
        <f>IF(E128="","",E128*G128)</f>
        <v/>
      </c>
      <c r="K128">
        <f>IF(I128="","",IF(AND(D128&lt;&gt;"Discontinued",TODAY()&gt;I128),TODAY()-I128,0))</f>
        <v/>
      </c>
      <c r="L128">
        <f>IF(B128="","",IF(D128="Discontinued","Retire",IF(E128&lt;=F128,"Reorder now",IF(K128&gt;0,"Restock overdue","OK"))))</f>
        <v/>
      </c>
    </row>
    <row r="129">
      <c r="G129" s="13" t="n"/>
      <c r="H129" s="12" t="n"/>
      <c r="I129" s="12" t="n"/>
      <c r="J129" s="13">
        <f>IF(E129="","",E129*G129)</f>
        <v/>
      </c>
      <c r="K129">
        <f>IF(I129="","",IF(AND(D129&lt;&gt;"Discontinued",TODAY()&gt;I129),TODAY()-I129,0))</f>
        <v/>
      </c>
      <c r="L129">
        <f>IF(B129="","",IF(D129="Discontinued","Retire",IF(E129&lt;=F129,"Reorder now",IF(K129&gt;0,"Restock overdue","OK"))))</f>
        <v/>
      </c>
    </row>
    <row r="130">
      <c r="G130" s="13" t="n"/>
      <c r="H130" s="12" t="n"/>
      <c r="I130" s="12" t="n"/>
      <c r="J130" s="13">
        <f>IF(E130="","",E130*G130)</f>
        <v/>
      </c>
      <c r="K130">
        <f>IF(I130="","",IF(AND(D130&lt;&gt;"Discontinued",TODAY()&gt;I130),TODAY()-I130,0))</f>
        <v/>
      </c>
      <c r="L130">
        <f>IF(B130="","",IF(D130="Discontinued","Retire",IF(E130&lt;=F130,"Reorder now",IF(K130&gt;0,"Restock overdue","OK"))))</f>
        <v/>
      </c>
    </row>
    <row r="131">
      <c r="G131" s="13" t="n"/>
      <c r="H131" s="12" t="n"/>
      <c r="I131" s="12" t="n"/>
      <c r="J131" s="13">
        <f>IF(E131="","",E131*G131)</f>
        <v/>
      </c>
      <c r="K131">
        <f>IF(I131="","",IF(AND(D131&lt;&gt;"Discontinued",TODAY()&gt;I131),TODAY()-I131,0))</f>
        <v/>
      </c>
      <c r="L131">
        <f>IF(B131="","",IF(D131="Discontinued","Retire",IF(E131&lt;=F131,"Reorder now",IF(K131&gt;0,"Restock overdue","OK"))))</f>
        <v/>
      </c>
    </row>
    <row r="132">
      <c r="G132" s="13" t="n"/>
      <c r="H132" s="12" t="n"/>
      <c r="I132" s="12" t="n"/>
      <c r="J132" s="13">
        <f>IF(E132="","",E132*G132)</f>
        <v/>
      </c>
      <c r="K132">
        <f>IF(I132="","",IF(AND(D132&lt;&gt;"Discontinued",TODAY()&gt;I132),TODAY()-I132,0))</f>
        <v/>
      </c>
      <c r="L132">
        <f>IF(B132="","",IF(D132="Discontinued","Retire",IF(E132&lt;=F132,"Reorder now",IF(K132&gt;0,"Restock overdue","OK"))))</f>
        <v/>
      </c>
    </row>
    <row r="133">
      <c r="G133" s="13" t="n"/>
      <c r="H133" s="12" t="n"/>
      <c r="I133" s="12" t="n"/>
      <c r="J133" s="13">
        <f>IF(E133="","",E133*G133)</f>
        <v/>
      </c>
      <c r="K133">
        <f>IF(I133="","",IF(AND(D133&lt;&gt;"Discontinued",TODAY()&gt;I133),TODAY()-I133,0))</f>
        <v/>
      </c>
      <c r="L133">
        <f>IF(B133="","",IF(D133="Discontinued","Retire",IF(E133&lt;=F133,"Reorder now",IF(K133&gt;0,"Restock overdue","OK"))))</f>
        <v/>
      </c>
    </row>
    <row r="134">
      <c r="G134" s="13" t="n"/>
      <c r="H134" s="12" t="n"/>
      <c r="I134" s="12" t="n"/>
      <c r="J134" s="13">
        <f>IF(E134="","",E134*G134)</f>
        <v/>
      </c>
      <c r="K134">
        <f>IF(I134="","",IF(AND(D134&lt;&gt;"Discontinued",TODAY()&gt;I134),TODAY()-I134,0))</f>
        <v/>
      </c>
      <c r="L134">
        <f>IF(B134="","",IF(D134="Discontinued","Retire",IF(E134&lt;=F134,"Reorder now",IF(K134&gt;0,"Restock overdue","OK"))))</f>
        <v/>
      </c>
    </row>
    <row r="135">
      <c r="G135" s="13" t="n"/>
      <c r="H135" s="12" t="n"/>
      <c r="I135" s="12" t="n"/>
      <c r="J135" s="13">
        <f>IF(E135="","",E135*G135)</f>
        <v/>
      </c>
      <c r="K135">
        <f>IF(I135="","",IF(AND(D135&lt;&gt;"Discontinued",TODAY()&gt;I135),TODAY()-I135,0))</f>
        <v/>
      </c>
      <c r="L135">
        <f>IF(B135="","",IF(D135="Discontinued","Retire",IF(E135&lt;=F135,"Reorder now",IF(K135&gt;0,"Restock overdue","OK"))))</f>
        <v/>
      </c>
    </row>
    <row r="136">
      <c r="G136" s="13" t="n"/>
      <c r="H136" s="12" t="n"/>
      <c r="I136" s="12" t="n"/>
      <c r="J136" s="13">
        <f>IF(E136="","",E136*G136)</f>
        <v/>
      </c>
      <c r="K136">
        <f>IF(I136="","",IF(AND(D136&lt;&gt;"Discontinued",TODAY()&gt;I136),TODAY()-I136,0))</f>
        <v/>
      </c>
      <c r="L136">
        <f>IF(B136="","",IF(D136="Discontinued","Retire",IF(E136&lt;=F136,"Reorder now",IF(K136&gt;0,"Restock overdue","OK"))))</f>
        <v/>
      </c>
    </row>
    <row r="137">
      <c r="G137" s="13" t="n"/>
      <c r="H137" s="12" t="n"/>
      <c r="I137" s="12" t="n"/>
      <c r="J137" s="13">
        <f>IF(E137="","",E137*G137)</f>
        <v/>
      </c>
      <c r="K137">
        <f>IF(I137="","",IF(AND(D137&lt;&gt;"Discontinued",TODAY()&gt;I137),TODAY()-I137,0))</f>
        <v/>
      </c>
      <c r="L137">
        <f>IF(B137="","",IF(D137="Discontinued","Retire",IF(E137&lt;=F137,"Reorder now",IF(K137&gt;0,"Restock overdue","OK"))))</f>
        <v/>
      </c>
    </row>
    <row r="138">
      <c r="G138" s="13" t="n"/>
      <c r="H138" s="12" t="n"/>
      <c r="I138" s="12" t="n"/>
      <c r="J138" s="13">
        <f>IF(E138="","",E138*G138)</f>
        <v/>
      </c>
      <c r="K138">
        <f>IF(I138="","",IF(AND(D138&lt;&gt;"Discontinued",TODAY()&gt;I138),TODAY()-I138,0))</f>
        <v/>
      </c>
      <c r="L138">
        <f>IF(B138="","",IF(D138="Discontinued","Retire",IF(E138&lt;=F138,"Reorder now",IF(K138&gt;0,"Restock overdue","OK"))))</f>
        <v/>
      </c>
    </row>
    <row r="139">
      <c r="G139" s="13" t="n"/>
      <c r="H139" s="12" t="n"/>
      <c r="I139" s="12" t="n"/>
      <c r="J139" s="13">
        <f>IF(E139="","",E139*G139)</f>
        <v/>
      </c>
      <c r="K139">
        <f>IF(I139="","",IF(AND(D139&lt;&gt;"Discontinued",TODAY()&gt;I139),TODAY()-I139,0))</f>
        <v/>
      </c>
      <c r="L139">
        <f>IF(B139="","",IF(D139="Discontinued","Retire",IF(E139&lt;=F139,"Reorder now",IF(K139&gt;0,"Restock overdue","OK"))))</f>
        <v/>
      </c>
    </row>
    <row r="140">
      <c r="G140" s="13" t="n"/>
      <c r="H140" s="12" t="n"/>
      <c r="I140" s="12" t="n"/>
      <c r="J140" s="13">
        <f>IF(E140="","",E140*G140)</f>
        <v/>
      </c>
      <c r="K140">
        <f>IF(I140="","",IF(AND(D140&lt;&gt;"Discontinued",TODAY()&gt;I140),TODAY()-I140,0))</f>
        <v/>
      </c>
      <c r="L140">
        <f>IF(B140="","",IF(D140="Discontinued","Retire",IF(E140&lt;=F140,"Reorder now",IF(K140&gt;0,"Restock overdue","OK"))))</f>
        <v/>
      </c>
    </row>
    <row r="141">
      <c r="G141" s="13" t="n"/>
      <c r="H141" s="12" t="n"/>
      <c r="I141" s="12" t="n"/>
      <c r="J141" s="13">
        <f>IF(E141="","",E141*G141)</f>
        <v/>
      </c>
      <c r="K141">
        <f>IF(I141="","",IF(AND(D141&lt;&gt;"Discontinued",TODAY()&gt;I141),TODAY()-I141,0))</f>
        <v/>
      </c>
      <c r="L141">
        <f>IF(B141="","",IF(D141="Discontinued","Retire",IF(E141&lt;=F141,"Reorder now",IF(K141&gt;0,"Restock overdue","OK"))))</f>
        <v/>
      </c>
    </row>
    <row r="142">
      <c r="G142" s="13" t="n"/>
      <c r="H142" s="12" t="n"/>
      <c r="I142" s="12" t="n"/>
      <c r="J142" s="13">
        <f>IF(E142="","",E142*G142)</f>
        <v/>
      </c>
      <c r="K142">
        <f>IF(I142="","",IF(AND(D142&lt;&gt;"Discontinued",TODAY()&gt;I142),TODAY()-I142,0))</f>
        <v/>
      </c>
      <c r="L142">
        <f>IF(B142="","",IF(D142="Discontinued","Retire",IF(E142&lt;=F142,"Reorder now",IF(K142&gt;0,"Restock overdue","OK"))))</f>
        <v/>
      </c>
    </row>
    <row r="143">
      <c r="G143" s="13" t="n"/>
      <c r="H143" s="12" t="n"/>
      <c r="I143" s="12" t="n"/>
      <c r="J143" s="13">
        <f>IF(E143="","",E143*G143)</f>
        <v/>
      </c>
      <c r="K143">
        <f>IF(I143="","",IF(AND(D143&lt;&gt;"Discontinued",TODAY()&gt;I143),TODAY()-I143,0))</f>
        <v/>
      </c>
      <c r="L143">
        <f>IF(B143="","",IF(D143="Discontinued","Retire",IF(E143&lt;=F143,"Reorder now",IF(K143&gt;0,"Restock overdue","OK"))))</f>
        <v/>
      </c>
    </row>
    <row r="144">
      <c r="G144" s="13" t="n"/>
      <c r="H144" s="12" t="n"/>
      <c r="I144" s="12" t="n"/>
      <c r="J144" s="13">
        <f>IF(E144="","",E144*G144)</f>
        <v/>
      </c>
      <c r="K144">
        <f>IF(I144="","",IF(AND(D144&lt;&gt;"Discontinued",TODAY()&gt;I144),TODAY()-I144,0))</f>
        <v/>
      </c>
      <c r="L144">
        <f>IF(B144="","",IF(D144="Discontinued","Retire",IF(E144&lt;=F144,"Reorder now",IF(K144&gt;0,"Restock overdue","OK"))))</f>
        <v/>
      </c>
    </row>
    <row r="145">
      <c r="G145" s="13" t="n"/>
      <c r="H145" s="12" t="n"/>
      <c r="I145" s="12" t="n"/>
      <c r="J145" s="13">
        <f>IF(E145="","",E145*G145)</f>
        <v/>
      </c>
      <c r="K145">
        <f>IF(I145="","",IF(AND(D145&lt;&gt;"Discontinued",TODAY()&gt;I145),TODAY()-I145,0))</f>
        <v/>
      </c>
      <c r="L145">
        <f>IF(B145="","",IF(D145="Discontinued","Retire",IF(E145&lt;=F145,"Reorder now",IF(K145&gt;0,"Restock overdue","OK"))))</f>
        <v/>
      </c>
    </row>
    <row r="146">
      <c r="G146" s="13" t="n"/>
      <c r="H146" s="12" t="n"/>
      <c r="I146" s="12" t="n"/>
      <c r="J146" s="13">
        <f>IF(E146="","",E146*G146)</f>
        <v/>
      </c>
      <c r="K146">
        <f>IF(I146="","",IF(AND(D146&lt;&gt;"Discontinued",TODAY()&gt;I146),TODAY()-I146,0))</f>
        <v/>
      </c>
      <c r="L146">
        <f>IF(B146="","",IF(D146="Discontinued","Retire",IF(E146&lt;=F146,"Reorder now",IF(K146&gt;0,"Restock overdue","OK"))))</f>
        <v/>
      </c>
    </row>
    <row r="147">
      <c r="G147" s="13" t="n"/>
      <c r="H147" s="12" t="n"/>
      <c r="I147" s="12" t="n"/>
      <c r="J147" s="13">
        <f>IF(E147="","",E147*G147)</f>
        <v/>
      </c>
      <c r="K147">
        <f>IF(I147="","",IF(AND(D147&lt;&gt;"Discontinued",TODAY()&gt;I147),TODAY()-I147,0))</f>
        <v/>
      </c>
      <c r="L147">
        <f>IF(B147="","",IF(D147="Discontinued","Retire",IF(E147&lt;=F147,"Reorder now",IF(K147&gt;0,"Restock overdue","OK"))))</f>
        <v/>
      </c>
    </row>
    <row r="148">
      <c r="G148" s="13" t="n"/>
      <c r="H148" s="12" t="n"/>
      <c r="I148" s="12" t="n"/>
      <c r="J148" s="13">
        <f>IF(E148="","",E148*G148)</f>
        <v/>
      </c>
      <c r="K148">
        <f>IF(I148="","",IF(AND(D148&lt;&gt;"Discontinued",TODAY()&gt;I148),TODAY()-I148,0))</f>
        <v/>
      </c>
      <c r="L148">
        <f>IF(B148="","",IF(D148="Discontinued","Retire",IF(E148&lt;=F148,"Reorder now",IF(K148&gt;0,"Restock overdue","OK"))))</f>
        <v/>
      </c>
    </row>
    <row r="149">
      <c r="G149" s="13" t="n"/>
      <c r="H149" s="12" t="n"/>
      <c r="I149" s="12" t="n"/>
      <c r="J149" s="13">
        <f>IF(E149="","",E149*G149)</f>
        <v/>
      </c>
      <c r="K149">
        <f>IF(I149="","",IF(AND(D149&lt;&gt;"Discontinued",TODAY()&gt;I149),TODAY()-I149,0))</f>
        <v/>
      </c>
      <c r="L149">
        <f>IF(B149="","",IF(D149="Discontinued","Retire",IF(E149&lt;=F149,"Reorder now",IF(K149&gt;0,"Restock overdue","OK"))))</f>
        <v/>
      </c>
    </row>
    <row r="150">
      <c r="G150" s="13" t="n"/>
      <c r="H150" s="12" t="n"/>
      <c r="I150" s="12" t="n"/>
      <c r="J150" s="13">
        <f>IF(E150="","",E150*G150)</f>
        <v/>
      </c>
      <c r="K150">
        <f>IF(I150="","",IF(AND(D150&lt;&gt;"Discontinued",TODAY()&gt;I150),TODAY()-I150,0))</f>
        <v/>
      </c>
      <c r="L150">
        <f>IF(B150="","",IF(D150="Discontinued","Retire",IF(E150&lt;=F150,"Reorder now",IF(K150&gt;0,"Restock overdue","OK"))))</f>
        <v/>
      </c>
    </row>
    <row r="151">
      <c r="G151" s="13" t="n"/>
      <c r="H151" s="12" t="n"/>
      <c r="I151" s="12" t="n"/>
      <c r="J151" s="13">
        <f>IF(E151="","",E151*G151)</f>
        <v/>
      </c>
      <c r="K151">
        <f>IF(I151="","",IF(AND(D151&lt;&gt;"Discontinued",TODAY()&gt;I151),TODAY()-I151,0))</f>
        <v/>
      </c>
      <c r="L151">
        <f>IF(B151="","",IF(D151="Discontinued","Retire",IF(E151&lt;=F151,"Reorder now",IF(K151&gt;0,"Restock overdue","OK"))))</f>
        <v/>
      </c>
    </row>
    <row r="152">
      <c r="G152" s="13" t="n"/>
      <c r="H152" s="12" t="n"/>
      <c r="I152" s="12" t="n"/>
      <c r="J152" s="13">
        <f>IF(E152="","",E152*G152)</f>
        <v/>
      </c>
      <c r="K152">
        <f>IF(I152="","",IF(AND(D152&lt;&gt;"Discontinued",TODAY()&gt;I152),TODAY()-I152,0))</f>
        <v/>
      </c>
      <c r="L152">
        <f>IF(B152="","",IF(D152="Discontinued","Retire",IF(E152&lt;=F152,"Reorder now",IF(K152&gt;0,"Restock overdue","OK"))))</f>
        <v/>
      </c>
    </row>
    <row r="153">
      <c r="G153" s="13" t="n"/>
      <c r="H153" s="12" t="n"/>
      <c r="I153" s="12" t="n"/>
      <c r="J153" s="13">
        <f>IF(E153="","",E153*G153)</f>
        <v/>
      </c>
      <c r="K153">
        <f>IF(I153="","",IF(AND(D153&lt;&gt;"Discontinued",TODAY()&gt;I153),TODAY()-I153,0))</f>
        <v/>
      </c>
      <c r="L153">
        <f>IF(B153="","",IF(D153="Discontinued","Retire",IF(E153&lt;=F153,"Reorder now",IF(K153&gt;0,"Restock overdue","OK"))))</f>
        <v/>
      </c>
    </row>
    <row r="154">
      <c r="G154" s="13" t="n"/>
      <c r="H154" s="12" t="n"/>
      <c r="I154" s="12" t="n"/>
      <c r="J154" s="13">
        <f>IF(E154="","",E154*G154)</f>
        <v/>
      </c>
      <c r="K154">
        <f>IF(I154="","",IF(AND(D154&lt;&gt;"Discontinued",TODAY()&gt;I154),TODAY()-I154,0))</f>
        <v/>
      </c>
      <c r="L154">
        <f>IF(B154="","",IF(D154="Discontinued","Retire",IF(E154&lt;=F154,"Reorder now",IF(K154&gt;0,"Restock overdue","OK"))))</f>
        <v/>
      </c>
    </row>
    <row r="155">
      <c r="G155" s="13" t="n"/>
      <c r="H155" s="12" t="n"/>
      <c r="I155" s="12" t="n"/>
      <c r="J155" s="13">
        <f>IF(E155="","",E155*G155)</f>
        <v/>
      </c>
      <c r="K155">
        <f>IF(I155="","",IF(AND(D155&lt;&gt;"Discontinued",TODAY()&gt;I155),TODAY()-I155,0))</f>
        <v/>
      </c>
      <c r="L155">
        <f>IF(B155="","",IF(D155="Discontinued","Retire",IF(E155&lt;=F155,"Reorder now",IF(K155&gt;0,"Restock overdue","OK"))))</f>
        <v/>
      </c>
    </row>
    <row r="156">
      <c r="G156" s="13" t="n"/>
      <c r="H156" s="12" t="n"/>
      <c r="I156" s="12" t="n"/>
      <c r="J156" s="13">
        <f>IF(E156="","",E156*G156)</f>
        <v/>
      </c>
      <c r="K156">
        <f>IF(I156="","",IF(AND(D156&lt;&gt;"Discontinued",TODAY()&gt;I156),TODAY()-I156,0))</f>
        <v/>
      </c>
      <c r="L156">
        <f>IF(B156="","",IF(D156="Discontinued","Retire",IF(E156&lt;=F156,"Reorder now",IF(K156&gt;0,"Restock overdue","OK"))))</f>
        <v/>
      </c>
    </row>
    <row r="157">
      <c r="G157" s="13" t="n"/>
      <c r="H157" s="12" t="n"/>
      <c r="I157" s="12" t="n"/>
      <c r="J157" s="13">
        <f>IF(E157="","",E157*G157)</f>
        <v/>
      </c>
      <c r="K157">
        <f>IF(I157="","",IF(AND(D157&lt;&gt;"Discontinued",TODAY()&gt;I157),TODAY()-I157,0))</f>
        <v/>
      </c>
      <c r="L157">
        <f>IF(B157="","",IF(D157="Discontinued","Retire",IF(E157&lt;=F157,"Reorder now",IF(K157&gt;0,"Restock overdue","OK"))))</f>
        <v/>
      </c>
    </row>
    <row r="158">
      <c r="G158" s="13" t="n"/>
      <c r="H158" s="12" t="n"/>
      <c r="I158" s="12" t="n"/>
      <c r="J158" s="13">
        <f>IF(E158="","",E158*G158)</f>
        <v/>
      </c>
      <c r="K158">
        <f>IF(I158="","",IF(AND(D158&lt;&gt;"Discontinued",TODAY()&gt;I158),TODAY()-I158,0))</f>
        <v/>
      </c>
      <c r="L158">
        <f>IF(B158="","",IF(D158="Discontinued","Retire",IF(E158&lt;=F158,"Reorder now",IF(K158&gt;0,"Restock overdue","OK"))))</f>
        <v/>
      </c>
    </row>
    <row r="159">
      <c r="G159" s="13" t="n"/>
      <c r="H159" s="12" t="n"/>
      <c r="I159" s="12" t="n"/>
      <c r="J159" s="13">
        <f>IF(E159="","",E159*G159)</f>
        <v/>
      </c>
      <c r="K159">
        <f>IF(I159="","",IF(AND(D159&lt;&gt;"Discontinued",TODAY()&gt;I159),TODAY()-I159,0))</f>
        <v/>
      </c>
      <c r="L159">
        <f>IF(B159="","",IF(D159="Discontinued","Retire",IF(E159&lt;=F159,"Reorder now",IF(K159&gt;0,"Restock overdue","OK"))))</f>
        <v/>
      </c>
    </row>
    <row r="160">
      <c r="G160" s="13" t="n"/>
      <c r="H160" s="12" t="n"/>
      <c r="I160" s="12" t="n"/>
      <c r="J160" s="13">
        <f>IF(E160="","",E160*G160)</f>
        <v/>
      </c>
      <c r="K160">
        <f>IF(I160="","",IF(AND(D160&lt;&gt;"Discontinued",TODAY()&gt;I160),TODAY()-I160,0))</f>
        <v/>
      </c>
      <c r="L160">
        <f>IF(B160="","",IF(D160="Discontinued","Retire",IF(E160&lt;=F160,"Reorder now",IF(K160&gt;0,"Restock overdue","OK"))))</f>
        <v/>
      </c>
    </row>
    <row r="161">
      <c r="G161" s="13" t="n"/>
      <c r="H161" s="12" t="n"/>
      <c r="I161" s="12" t="n"/>
      <c r="J161" s="13">
        <f>IF(E161="","",E161*G161)</f>
        <v/>
      </c>
      <c r="K161">
        <f>IF(I161="","",IF(AND(D161&lt;&gt;"Discontinued",TODAY()&gt;I161),TODAY()-I161,0))</f>
        <v/>
      </c>
      <c r="L161">
        <f>IF(B161="","",IF(D161="Discontinued","Retire",IF(E161&lt;=F161,"Reorder now",IF(K161&gt;0,"Restock overdue","OK"))))</f>
        <v/>
      </c>
    </row>
    <row r="162">
      <c r="G162" s="13" t="n"/>
      <c r="H162" s="12" t="n"/>
      <c r="I162" s="12" t="n"/>
      <c r="J162" s="13">
        <f>IF(E162="","",E162*G162)</f>
        <v/>
      </c>
      <c r="K162">
        <f>IF(I162="","",IF(AND(D162&lt;&gt;"Discontinued",TODAY()&gt;I162),TODAY()-I162,0))</f>
        <v/>
      </c>
      <c r="L162">
        <f>IF(B162="","",IF(D162="Discontinued","Retire",IF(E162&lt;=F162,"Reorder now",IF(K162&gt;0,"Restock overdue","OK"))))</f>
        <v/>
      </c>
    </row>
    <row r="163">
      <c r="G163" s="13" t="n"/>
      <c r="H163" s="12" t="n"/>
      <c r="I163" s="12" t="n"/>
      <c r="J163" s="13">
        <f>IF(E163="","",E163*G163)</f>
        <v/>
      </c>
      <c r="K163">
        <f>IF(I163="","",IF(AND(D163&lt;&gt;"Discontinued",TODAY()&gt;I163),TODAY()-I163,0))</f>
        <v/>
      </c>
      <c r="L163">
        <f>IF(B163="","",IF(D163="Discontinued","Retire",IF(E163&lt;=F163,"Reorder now",IF(K163&gt;0,"Restock overdue","OK"))))</f>
        <v/>
      </c>
    </row>
    <row r="164">
      <c r="G164" s="13" t="n"/>
      <c r="H164" s="12" t="n"/>
      <c r="I164" s="12" t="n"/>
      <c r="J164" s="13">
        <f>IF(E164="","",E164*G164)</f>
        <v/>
      </c>
      <c r="K164">
        <f>IF(I164="","",IF(AND(D164&lt;&gt;"Discontinued",TODAY()&gt;I164),TODAY()-I164,0))</f>
        <v/>
      </c>
      <c r="L164">
        <f>IF(B164="","",IF(D164="Discontinued","Retire",IF(E164&lt;=F164,"Reorder now",IF(K164&gt;0,"Restock overdue","OK"))))</f>
        <v/>
      </c>
    </row>
    <row r="165">
      <c r="G165" s="13" t="n"/>
      <c r="H165" s="12" t="n"/>
      <c r="I165" s="12" t="n"/>
      <c r="J165" s="13">
        <f>IF(E165="","",E165*G165)</f>
        <v/>
      </c>
      <c r="K165">
        <f>IF(I165="","",IF(AND(D165&lt;&gt;"Discontinued",TODAY()&gt;I165),TODAY()-I165,0))</f>
        <v/>
      </c>
      <c r="L165">
        <f>IF(B165="","",IF(D165="Discontinued","Retire",IF(E165&lt;=F165,"Reorder now",IF(K165&gt;0,"Restock overdue","OK"))))</f>
        <v/>
      </c>
    </row>
    <row r="166">
      <c r="G166" s="13" t="n"/>
      <c r="H166" s="12" t="n"/>
      <c r="I166" s="12" t="n"/>
      <c r="J166" s="13">
        <f>IF(E166="","",E166*G166)</f>
        <v/>
      </c>
      <c r="K166">
        <f>IF(I166="","",IF(AND(D166&lt;&gt;"Discontinued",TODAY()&gt;I166),TODAY()-I166,0))</f>
        <v/>
      </c>
      <c r="L166">
        <f>IF(B166="","",IF(D166="Discontinued","Retire",IF(E166&lt;=F166,"Reorder now",IF(K166&gt;0,"Restock overdue","OK"))))</f>
        <v/>
      </c>
    </row>
    <row r="167">
      <c r="G167" s="13" t="n"/>
      <c r="H167" s="12" t="n"/>
      <c r="I167" s="12" t="n"/>
      <c r="J167" s="13">
        <f>IF(E167="","",E167*G167)</f>
        <v/>
      </c>
      <c r="K167">
        <f>IF(I167="","",IF(AND(D167&lt;&gt;"Discontinued",TODAY()&gt;I167),TODAY()-I167,0))</f>
        <v/>
      </c>
      <c r="L167">
        <f>IF(B167="","",IF(D167="Discontinued","Retire",IF(E167&lt;=F167,"Reorder now",IF(K167&gt;0,"Restock overdue","OK"))))</f>
        <v/>
      </c>
    </row>
    <row r="168">
      <c r="G168" s="13" t="n"/>
      <c r="H168" s="12" t="n"/>
      <c r="I168" s="12" t="n"/>
      <c r="J168" s="13">
        <f>IF(E168="","",E168*G168)</f>
        <v/>
      </c>
      <c r="K168">
        <f>IF(I168="","",IF(AND(D168&lt;&gt;"Discontinued",TODAY()&gt;I168),TODAY()-I168,0))</f>
        <v/>
      </c>
      <c r="L168">
        <f>IF(B168="","",IF(D168="Discontinued","Retire",IF(E168&lt;=F168,"Reorder now",IF(K168&gt;0,"Restock overdue","OK"))))</f>
        <v/>
      </c>
    </row>
    <row r="169">
      <c r="G169" s="13" t="n"/>
      <c r="H169" s="12" t="n"/>
      <c r="I169" s="12" t="n"/>
      <c r="J169" s="13">
        <f>IF(E169="","",E169*G169)</f>
        <v/>
      </c>
      <c r="K169">
        <f>IF(I169="","",IF(AND(D169&lt;&gt;"Discontinued",TODAY()&gt;I169),TODAY()-I169,0))</f>
        <v/>
      </c>
      <c r="L169">
        <f>IF(B169="","",IF(D169="Discontinued","Retire",IF(E169&lt;=F169,"Reorder now",IF(K169&gt;0,"Restock overdue","OK"))))</f>
        <v/>
      </c>
    </row>
    <row r="170">
      <c r="G170" s="13" t="n"/>
      <c r="H170" s="12" t="n"/>
      <c r="I170" s="12" t="n"/>
      <c r="J170" s="13">
        <f>IF(E170="","",E170*G170)</f>
        <v/>
      </c>
      <c r="K170">
        <f>IF(I170="","",IF(AND(D170&lt;&gt;"Discontinued",TODAY()&gt;I170),TODAY()-I170,0))</f>
        <v/>
      </c>
      <c r="L170">
        <f>IF(B170="","",IF(D170="Discontinued","Retire",IF(E170&lt;=F170,"Reorder now",IF(K170&gt;0,"Restock overdue","OK"))))</f>
        <v/>
      </c>
    </row>
    <row r="171">
      <c r="G171" s="13" t="n"/>
      <c r="H171" s="12" t="n"/>
      <c r="I171" s="12" t="n"/>
      <c r="J171" s="13">
        <f>IF(E171="","",E171*G171)</f>
        <v/>
      </c>
      <c r="K171">
        <f>IF(I171="","",IF(AND(D171&lt;&gt;"Discontinued",TODAY()&gt;I171),TODAY()-I171,0))</f>
        <v/>
      </c>
      <c r="L171">
        <f>IF(B171="","",IF(D171="Discontinued","Retire",IF(E171&lt;=F171,"Reorder now",IF(K171&gt;0,"Restock overdue","OK"))))</f>
        <v/>
      </c>
    </row>
    <row r="172">
      <c r="G172" s="13" t="n"/>
      <c r="H172" s="12" t="n"/>
      <c r="I172" s="12" t="n"/>
      <c r="J172" s="13">
        <f>IF(E172="","",E172*G172)</f>
        <v/>
      </c>
      <c r="K172">
        <f>IF(I172="","",IF(AND(D172&lt;&gt;"Discontinued",TODAY()&gt;I172),TODAY()-I172,0))</f>
        <v/>
      </c>
      <c r="L172">
        <f>IF(B172="","",IF(D172="Discontinued","Retire",IF(E172&lt;=F172,"Reorder now",IF(K172&gt;0,"Restock overdue","OK"))))</f>
        <v/>
      </c>
    </row>
    <row r="173">
      <c r="G173" s="13" t="n"/>
      <c r="H173" s="12" t="n"/>
      <c r="I173" s="12" t="n"/>
      <c r="J173" s="13">
        <f>IF(E173="","",E173*G173)</f>
        <v/>
      </c>
      <c r="K173">
        <f>IF(I173="","",IF(AND(D173&lt;&gt;"Discontinued",TODAY()&gt;I173),TODAY()-I173,0))</f>
        <v/>
      </c>
      <c r="L173">
        <f>IF(B173="","",IF(D173="Discontinued","Retire",IF(E173&lt;=F173,"Reorder now",IF(K173&gt;0,"Restock overdue","OK"))))</f>
        <v/>
      </c>
    </row>
    <row r="174">
      <c r="G174" s="13" t="n"/>
      <c r="H174" s="12" t="n"/>
      <c r="I174" s="12" t="n"/>
      <c r="J174" s="13">
        <f>IF(E174="","",E174*G174)</f>
        <v/>
      </c>
      <c r="K174">
        <f>IF(I174="","",IF(AND(D174&lt;&gt;"Discontinued",TODAY()&gt;I174),TODAY()-I174,0))</f>
        <v/>
      </c>
      <c r="L174">
        <f>IF(B174="","",IF(D174="Discontinued","Retire",IF(E174&lt;=F174,"Reorder now",IF(K174&gt;0,"Restock overdue","OK"))))</f>
        <v/>
      </c>
    </row>
    <row r="175">
      <c r="G175" s="13" t="n"/>
      <c r="H175" s="12" t="n"/>
      <c r="I175" s="12" t="n"/>
      <c r="J175" s="13">
        <f>IF(E175="","",E175*G175)</f>
        <v/>
      </c>
      <c r="K175">
        <f>IF(I175="","",IF(AND(D175&lt;&gt;"Discontinued",TODAY()&gt;I175),TODAY()-I175,0))</f>
        <v/>
      </c>
      <c r="L175">
        <f>IF(B175="","",IF(D175="Discontinued","Retire",IF(E175&lt;=F175,"Reorder now",IF(K175&gt;0,"Restock overdue","OK"))))</f>
        <v/>
      </c>
    </row>
    <row r="176">
      <c r="G176" s="13" t="n"/>
      <c r="H176" s="12" t="n"/>
      <c r="I176" s="12" t="n"/>
      <c r="J176" s="13">
        <f>IF(E176="","",E176*G176)</f>
        <v/>
      </c>
      <c r="K176">
        <f>IF(I176="","",IF(AND(D176&lt;&gt;"Discontinued",TODAY()&gt;I176),TODAY()-I176,0))</f>
        <v/>
      </c>
      <c r="L176">
        <f>IF(B176="","",IF(D176="Discontinued","Retire",IF(E176&lt;=F176,"Reorder now",IF(K176&gt;0,"Restock overdue","OK"))))</f>
        <v/>
      </c>
    </row>
    <row r="177">
      <c r="G177" s="13" t="n"/>
      <c r="H177" s="12" t="n"/>
      <c r="I177" s="12" t="n"/>
      <c r="J177" s="13">
        <f>IF(E177="","",E177*G177)</f>
        <v/>
      </c>
      <c r="K177">
        <f>IF(I177="","",IF(AND(D177&lt;&gt;"Discontinued",TODAY()&gt;I177),TODAY()-I177,0))</f>
        <v/>
      </c>
      <c r="L177">
        <f>IF(B177="","",IF(D177="Discontinued","Retire",IF(E177&lt;=F177,"Reorder now",IF(K177&gt;0,"Restock overdue","OK"))))</f>
        <v/>
      </c>
    </row>
    <row r="178">
      <c r="G178" s="13" t="n"/>
      <c r="H178" s="12" t="n"/>
      <c r="I178" s="12" t="n"/>
      <c r="J178" s="13">
        <f>IF(E178="","",E178*G178)</f>
        <v/>
      </c>
      <c r="K178">
        <f>IF(I178="","",IF(AND(D178&lt;&gt;"Discontinued",TODAY()&gt;I178),TODAY()-I178,0))</f>
        <v/>
      </c>
      <c r="L178">
        <f>IF(B178="","",IF(D178="Discontinued","Retire",IF(E178&lt;=F178,"Reorder now",IF(K178&gt;0,"Restock overdue","OK"))))</f>
        <v/>
      </c>
    </row>
    <row r="179">
      <c r="G179" s="13" t="n"/>
      <c r="H179" s="12" t="n"/>
      <c r="I179" s="12" t="n"/>
      <c r="J179" s="13">
        <f>IF(E179="","",E179*G179)</f>
        <v/>
      </c>
      <c r="K179">
        <f>IF(I179="","",IF(AND(D179&lt;&gt;"Discontinued",TODAY()&gt;I179),TODAY()-I179,0))</f>
        <v/>
      </c>
      <c r="L179">
        <f>IF(B179="","",IF(D179="Discontinued","Retire",IF(E179&lt;=F179,"Reorder now",IF(K179&gt;0,"Restock overdue","OK"))))</f>
        <v/>
      </c>
    </row>
    <row r="180">
      <c r="G180" s="13" t="n"/>
      <c r="H180" s="12" t="n"/>
      <c r="I180" s="12" t="n"/>
      <c r="J180" s="13">
        <f>IF(E180="","",E180*G180)</f>
        <v/>
      </c>
      <c r="K180">
        <f>IF(I180="","",IF(AND(D180&lt;&gt;"Discontinued",TODAY()&gt;I180),TODAY()-I180,0))</f>
        <v/>
      </c>
      <c r="L180">
        <f>IF(B180="","",IF(D180="Discontinued","Retire",IF(E180&lt;=F180,"Reorder now",IF(K180&gt;0,"Restock overdue","OK"))))</f>
        <v/>
      </c>
    </row>
    <row r="181">
      <c r="G181" s="13" t="n"/>
      <c r="H181" s="12" t="n"/>
      <c r="I181" s="12" t="n"/>
      <c r="J181" s="13">
        <f>IF(E181="","",E181*G181)</f>
        <v/>
      </c>
      <c r="K181">
        <f>IF(I181="","",IF(AND(D181&lt;&gt;"Discontinued",TODAY()&gt;I181),TODAY()-I181,0))</f>
        <v/>
      </c>
      <c r="L181">
        <f>IF(B181="","",IF(D181="Discontinued","Retire",IF(E181&lt;=F181,"Reorder now",IF(K181&gt;0,"Restock overdue","OK"))))</f>
        <v/>
      </c>
    </row>
    <row r="182">
      <c r="G182" s="13" t="n"/>
      <c r="H182" s="12" t="n"/>
      <c r="I182" s="12" t="n"/>
      <c r="J182" s="13">
        <f>IF(E182="","",E182*G182)</f>
        <v/>
      </c>
      <c r="K182">
        <f>IF(I182="","",IF(AND(D182&lt;&gt;"Discontinued",TODAY()&gt;I182),TODAY()-I182,0))</f>
        <v/>
      </c>
      <c r="L182">
        <f>IF(B182="","",IF(D182="Discontinued","Retire",IF(E182&lt;=F182,"Reorder now",IF(K182&gt;0,"Restock overdue","OK"))))</f>
        <v/>
      </c>
    </row>
    <row r="183">
      <c r="G183" s="13" t="n"/>
      <c r="H183" s="12" t="n"/>
      <c r="I183" s="12" t="n"/>
      <c r="J183" s="13">
        <f>IF(E183="","",E183*G183)</f>
        <v/>
      </c>
      <c r="K183">
        <f>IF(I183="","",IF(AND(D183&lt;&gt;"Discontinued",TODAY()&gt;I183),TODAY()-I183,0))</f>
        <v/>
      </c>
      <c r="L183">
        <f>IF(B183="","",IF(D183="Discontinued","Retire",IF(E183&lt;=F183,"Reorder now",IF(K183&gt;0,"Restock overdue","OK"))))</f>
        <v/>
      </c>
    </row>
    <row r="184">
      <c r="G184" s="13" t="n"/>
      <c r="H184" s="12" t="n"/>
      <c r="I184" s="12" t="n"/>
      <c r="J184" s="13">
        <f>IF(E184="","",E184*G184)</f>
        <v/>
      </c>
      <c r="K184">
        <f>IF(I184="","",IF(AND(D184&lt;&gt;"Discontinued",TODAY()&gt;I184),TODAY()-I184,0))</f>
        <v/>
      </c>
      <c r="L184">
        <f>IF(B184="","",IF(D184="Discontinued","Retire",IF(E184&lt;=F184,"Reorder now",IF(K184&gt;0,"Restock overdue","OK"))))</f>
        <v/>
      </c>
    </row>
    <row r="185">
      <c r="G185" s="13" t="n"/>
      <c r="H185" s="12" t="n"/>
      <c r="I185" s="12" t="n"/>
      <c r="J185" s="13">
        <f>IF(E185="","",E185*G185)</f>
        <v/>
      </c>
      <c r="K185">
        <f>IF(I185="","",IF(AND(D185&lt;&gt;"Discontinued",TODAY()&gt;I185),TODAY()-I185,0))</f>
        <v/>
      </c>
      <c r="L185">
        <f>IF(B185="","",IF(D185="Discontinued","Retire",IF(E185&lt;=F185,"Reorder now",IF(K185&gt;0,"Restock overdue","OK"))))</f>
        <v/>
      </c>
    </row>
    <row r="186">
      <c r="G186" s="13" t="n"/>
      <c r="H186" s="12" t="n"/>
      <c r="I186" s="12" t="n"/>
      <c r="J186" s="13">
        <f>IF(E186="","",E186*G186)</f>
        <v/>
      </c>
      <c r="K186">
        <f>IF(I186="","",IF(AND(D186&lt;&gt;"Discontinued",TODAY()&gt;I186),TODAY()-I186,0))</f>
        <v/>
      </c>
      <c r="L186">
        <f>IF(B186="","",IF(D186="Discontinued","Retire",IF(E186&lt;=F186,"Reorder now",IF(K186&gt;0,"Restock overdue","OK"))))</f>
        <v/>
      </c>
    </row>
    <row r="187">
      <c r="G187" s="13" t="n"/>
      <c r="H187" s="12" t="n"/>
      <c r="I187" s="12" t="n"/>
      <c r="J187" s="13">
        <f>IF(E187="","",E187*G187)</f>
        <v/>
      </c>
      <c r="K187">
        <f>IF(I187="","",IF(AND(D187&lt;&gt;"Discontinued",TODAY()&gt;I187),TODAY()-I187,0))</f>
        <v/>
      </c>
      <c r="L187">
        <f>IF(B187="","",IF(D187="Discontinued","Retire",IF(E187&lt;=F187,"Reorder now",IF(K187&gt;0,"Restock overdue","OK"))))</f>
        <v/>
      </c>
    </row>
    <row r="188">
      <c r="G188" s="13" t="n"/>
      <c r="H188" s="12" t="n"/>
      <c r="I188" s="12" t="n"/>
      <c r="J188" s="13">
        <f>IF(E188="","",E188*G188)</f>
        <v/>
      </c>
      <c r="K188">
        <f>IF(I188="","",IF(AND(D188&lt;&gt;"Discontinued",TODAY()&gt;I188),TODAY()-I188,0))</f>
        <v/>
      </c>
      <c r="L188">
        <f>IF(B188="","",IF(D188="Discontinued","Retire",IF(E188&lt;=F188,"Reorder now",IF(K188&gt;0,"Restock overdue","OK"))))</f>
        <v/>
      </c>
    </row>
    <row r="189">
      <c r="G189" s="13" t="n"/>
      <c r="H189" s="12" t="n"/>
      <c r="I189" s="12" t="n"/>
      <c r="J189" s="13">
        <f>IF(E189="","",E189*G189)</f>
        <v/>
      </c>
      <c r="K189">
        <f>IF(I189="","",IF(AND(D189&lt;&gt;"Discontinued",TODAY()&gt;I189),TODAY()-I189,0))</f>
        <v/>
      </c>
      <c r="L189">
        <f>IF(B189="","",IF(D189="Discontinued","Retire",IF(E189&lt;=F189,"Reorder now",IF(K189&gt;0,"Restock overdue","OK"))))</f>
        <v/>
      </c>
    </row>
    <row r="190">
      <c r="G190" s="13" t="n"/>
      <c r="H190" s="12" t="n"/>
      <c r="I190" s="12" t="n"/>
      <c r="J190" s="13">
        <f>IF(E190="","",E190*G190)</f>
        <v/>
      </c>
      <c r="K190">
        <f>IF(I190="","",IF(AND(D190&lt;&gt;"Discontinued",TODAY()&gt;I190),TODAY()-I190,0))</f>
        <v/>
      </c>
      <c r="L190">
        <f>IF(B190="","",IF(D190="Discontinued","Retire",IF(E190&lt;=F190,"Reorder now",IF(K190&gt;0,"Restock overdue","OK"))))</f>
        <v/>
      </c>
    </row>
    <row r="191">
      <c r="G191" s="13" t="n"/>
      <c r="H191" s="12" t="n"/>
      <c r="I191" s="12" t="n"/>
      <c r="J191" s="13">
        <f>IF(E191="","",E191*G191)</f>
        <v/>
      </c>
      <c r="K191">
        <f>IF(I191="","",IF(AND(D191&lt;&gt;"Discontinued",TODAY()&gt;I191),TODAY()-I191,0))</f>
        <v/>
      </c>
      <c r="L191">
        <f>IF(B191="","",IF(D191="Discontinued","Retire",IF(E191&lt;=F191,"Reorder now",IF(K191&gt;0,"Restock overdue","OK"))))</f>
        <v/>
      </c>
    </row>
    <row r="192">
      <c r="G192" s="13" t="n"/>
      <c r="H192" s="12" t="n"/>
      <c r="I192" s="12" t="n"/>
      <c r="J192" s="13">
        <f>IF(E192="","",E192*G192)</f>
        <v/>
      </c>
      <c r="K192">
        <f>IF(I192="","",IF(AND(D192&lt;&gt;"Discontinued",TODAY()&gt;I192),TODAY()-I192,0))</f>
        <v/>
      </c>
      <c r="L192">
        <f>IF(B192="","",IF(D192="Discontinued","Retire",IF(E192&lt;=F192,"Reorder now",IF(K192&gt;0,"Restock overdue","OK"))))</f>
        <v/>
      </c>
    </row>
    <row r="193">
      <c r="G193" s="13" t="n"/>
      <c r="H193" s="12" t="n"/>
      <c r="I193" s="12" t="n"/>
      <c r="J193" s="13">
        <f>IF(E193="","",E193*G193)</f>
        <v/>
      </c>
      <c r="K193">
        <f>IF(I193="","",IF(AND(D193&lt;&gt;"Discontinued",TODAY()&gt;I193),TODAY()-I193,0))</f>
        <v/>
      </c>
      <c r="L193">
        <f>IF(B193="","",IF(D193="Discontinued","Retire",IF(E193&lt;=F193,"Reorder now",IF(K193&gt;0,"Restock overdue","OK"))))</f>
        <v/>
      </c>
    </row>
    <row r="194">
      <c r="G194" s="13" t="n"/>
      <c r="H194" s="12" t="n"/>
      <c r="I194" s="12" t="n"/>
      <c r="J194" s="13">
        <f>IF(E194="","",E194*G194)</f>
        <v/>
      </c>
      <c r="K194">
        <f>IF(I194="","",IF(AND(D194&lt;&gt;"Discontinued",TODAY()&gt;I194),TODAY()-I194,0))</f>
        <v/>
      </c>
      <c r="L194">
        <f>IF(B194="","",IF(D194="Discontinued","Retire",IF(E194&lt;=F194,"Reorder now",IF(K194&gt;0,"Restock overdue","OK"))))</f>
        <v/>
      </c>
    </row>
    <row r="195">
      <c r="G195" s="13" t="n"/>
      <c r="H195" s="12" t="n"/>
      <c r="I195" s="12" t="n"/>
      <c r="J195" s="13">
        <f>IF(E195="","",E195*G195)</f>
        <v/>
      </c>
      <c r="K195">
        <f>IF(I195="","",IF(AND(D195&lt;&gt;"Discontinued",TODAY()&gt;I195),TODAY()-I195,0))</f>
        <v/>
      </c>
      <c r="L195">
        <f>IF(B195="","",IF(D195="Discontinued","Retire",IF(E195&lt;=F195,"Reorder now",IF(K195&gt;0,"Restock overdue","OK"))))</f>
        <v/>
      </c>
    </row>
    <row r="196">
      <c r="G196" s="13" t="n"/>
      <c r="H196" s="12" t="n"/>
      <c r="I196" s="12" t="n"/>
      <c r="J196" s="13">
        <f>IF(E196="","",E196*G196)</f>
        <v/>
      </c>
      <c r="K196">
        <f>IF(I196="","",IF(AND(D196&lt;&gt;"Discontinued",TODAY()&gt;I196),TODAY()-I196,0))</f>
        <v/>
      </c>
      <c r="L196">
        <f>IF(B196="","",IF(D196="Discontinued","Retire",IF(E196&lt;=F196,"Reorder now",IF(K196&gt;0,"Restock overdue","OK"))))</f>
        <v/>
      </c>
    </row>
    <row r="197">
      <c r="G197" s="13" t="n"/>
      <c r="H197" s="12" t="n"/>
      <c r="I197" s="12" t="n"/>
      <c r="J197" s="13">
        <f>IF(E197="","",E197*G197)</f>
        <v/>
      </c>
      <c r="K197">
        <f>IF(I197="","",IF(AND(D197&lt;&gt;"Discontinued",TODAY()&gt;I197),TODAY()-I197,0))</f>
        <v/>
      </c>
      <c r="L197">
        <f>IF(B197="","",IF(D197="Discontinued","Retire",IF(E197&lt;=F197,"Reorder now",IF(K197&gt;0,"Restock overdue","OK"))))</f>
        <v/>
      </c>
    </row>
    <row r="198">
      <c r="G198" s="13" t="n"/>
      <c r="H198" s="12" t="n"/>
      <c r="I198" s="12" t="n"/>
      <c r="J198" s="13">
        <f>IF(E198="","",E198*G198)</f>
        <v/>
      </c>
      <c r="K198">
        <f>IF(I198="","",IF(AND(D198&lt;&gt;"Discontinued",TODAY()&gt;I198),TODAY()-I198,0))</f>
        <v/>
      </c>
      <c r="L198">
        <f>IF(B198="","",IF(D198="Discontinued","Retire",IF(E198&lt;=F198,"Reorder now",IF(K198&gt;0,"Restock overdue","OK"))))</f>
        <v/>
      </c>
    </row>
    <row r="199">
      <c r="G199" s="13" t="n"/>
      <c r="H199" s="12" t="n"/>
      <c r="I199" s="12" t="n"/>
      <c r="J199" s="13">
        <f>IF(E199="","",E199*G199)</f>
        <v/>
      </c>
      <c r="K199">
        <f>IF(I199="","",IF(AND(D199&lt;&gt;"Discontinued",TODAY()&gt;I199),TODAY()-I199,0))</f>
        <v/>
      </c>
      <c r="L199">
        <f>IF(B199="","",IF(D199="Discontinued","Retire",IF(E199&lt;=F199,"Reorder now",IF(K199&gt;0,"Restock overdue","OK"))))</f>
        <v/>
      </c>
    </row>
    <row r="200">
      <c r="G200" s="13" t="n"/>
      <c r="H200" s="12" t="n"/>
      <c r="I200" s="12" t="n"/>
      <c r="J200" s="13">
        <f>IF(E200="","",E200*G200)</f>
        <v/>
      </c>
      <c r="K200">
        <f>IF(I200="","",IF(AND(D200&lt;&gt;"Discontinued",TODAY()&gt;I200),TODAY()-I200,0))</f>
        <v/>
      </c>
      <c r="L200">
        <f>IF(B200="","",IF(D200="Discontinued","Retire",IF(E200&lt;=F200,"Reorder now",IF(K200&gt;0,"Restock overdue","OK"))))</f>
        <v/>
      </c>
    </row>
  </sheetData>
  <conditionalFormatting sqref="L2:L200">
    <cfRule type="expression" priority="1" dxfId="0">
      <formula>OR(L2="On track",L2="OK")</formula>
    </cfRule>
    <cfRule type="expression" priority="2" dxfId="1">
      <formula>AND(L2&lt;&gt;"",L2&lt;&gt;"On track",L2&lt;&gt;"OK")</formula>
    </cfRule>
  </conditionalFormatting>
  <dataValidations count="4">
    <dataValidation sqref="C2:C200" showDropDown="0" showInputMessage="0" showErrorMessage="1" allowBlank="1" errorTitle="Pick from list" error="Choose a listed value" type="list">
      <formula1>"Packaging,Hardware,Consumables,Merchandise"</formula1>
    </dataValidation>
    <dataValidation sqref="D2:D200" showDropDown="0" showInputMessage="0" showErrorMessage="1" allowBlank="1" errorTitle="Pick from list" error="Choose a listed value" type="list">
      <formula1>"Active,Backorder,Discontinued"</formula1>
    </dataValidation>
    <dataValidation sqref="H2:H200" showDropDown="0" showInputMessage="0" showErrorMessage="1" allowBlank="1" error="Enter a valid date" type="date" operator="greaterThan">
      <formula1>36526</formula1>
    </dataValidation>
    <dataValidation sqref="I2:I200" showDropDown="0" showInputMessage="0" showErrorMessage="1" allowBlank="1" error="Enter a valid date" type="date" operator="greaterThan">
      <formula1>36526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Project Category</t>
        </is>
      </c>
      <c r="B1" s="2" t="inlineStr">
        <is>
          <t>Project Status</t>
        </is>
      </c>
      <c r="C1" s="2" t="inlineStr">
        <is>
          <t>Service Type</t>
        </is>
      </c>
      <c r="D1" s="2" t="inlineStr">
        <is>
          <t>Service Status</t>
        </is>
      </c>
      <c r="E1" s="2" t="inlineStr">
        <is>
          <t>Inventory Category</t>
        </is>
      </c>
      <c r="F1" s="2" t="inlineStr">
        <is>
          <t>Inventory Status</t>
        </is>
      </c>
    </row>
    <row r="2">
      <c r="A2" t="inlineStr">
        <is>
          <t>Website</t>
        </is>
      </c>
      <c r="B2" t="inlineStr">
        <is>
          <t>Planned</t>
        </is>
      </c>
      <c r="C2" t="inlineStr">
        <is>
          <t>Onboarding</t>
        </is>
      </c>
      <c r="D2" t="inlineStr">
        <is>
          <t>Open</t>
        </is>
      </c>
      <c r="E2" t="inlineStr">
        <is>
          <t>Packaging</t>
        </is>
      </c>
      <c r="F2" t="inlineStr">
        <is>
          <t>Active</t>
        </is>
      </c>
    </row>
    <row r="3">
      <c r="A3" t="inlineStr">
        <is>
          <t>Marketing</t>
        </is>
      </c>
      <c r="B3" t="inlineStr">
        <is>
          <t>In Progress</t>
        </is>
      </c>
      <c r="C3" t="inlineStr">
        <is>
          <t>Support</t>
        </is>
      </c>
      <c r="D3" t="inlineStr">
        <is>
          <t>Waiting Client</t>
        </is>
      </c>
      <c r="E3" t="inlineStr">
        <is>
          <t>Hardware</t>
        </is>
      </c>
      <c r="F3" t="inlineStr">
        <is>
          <t>Backorder</t>
        </is>
      </c>
    </row>
    <row r="4">
      <c r="A4" t="inlineStr">
        <is>
          <t>Operations</t>
        </is>
      </c>
      <c r="B4" t="inlineStr">
        <is>
          <t>Done</t>
        </is>
      </c>
      <c r="C4" t="inlineStr">
        <is>
          <t>Billing</t>
        </is>
      </c>
      <c r="D4" t="inlineStr">
        <is>
          <t>Resolved</t>
        </is>
      </c>
      <c r="E4" t="inlineStr">
        <is>
          <t>Consumables</t>
        </is>
      </c>
      <c r="F4" t="inlineStr">
        <is>
          <t>Discontinued</t>
        </is>
      </c>
    </row>
    <row r="5">
      <c r="A5" t="inlineStr">
        <is>
          <t>Finance</t>
        </is>
      </c>
      <c r="B5" t="inlineStr">
        <is>
          <t>On Hold</t>
        </is>
      </c>
      <c r="C5" t="inlineStr">
        <is>
          <t>Change Request</t>
        </is>
      </c>
      <c r="D5" t="inlineStr">
        <is>
          <t>Closed</t>
        </is>
      </c>
      <c r="E5" t="inlineStr">
        <is>
          <t>Merchandise</t>
        </is>
      </c>
    </row>
    <row r="6">
      <c r="A6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2026-09-25T17:51:49Z</dcterms:created>
  <dcterms:modified xmlns:dcterms="http://purl.org/dc/terms/" xmlns:xsi="http://www.w3.org/2001/XMLSchema-instance" xsi:type="dcterms:W3CDTF">2026-09-25T17:51:49Z</dcterms:modified>
</cp:coreProperties>
</file>